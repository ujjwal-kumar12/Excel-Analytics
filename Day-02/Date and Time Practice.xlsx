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2\"/>
    </mc:Choice>
  </mc:AlternateContent>
  <xr:revisionPtr revIDLastSave="0" documentId="13_ncr:1_{DB3D78C3-7561-4209-B93F-1A8919F6A6BA}" xr6:coauthVersionLast="47" xr6:coauthVersionMax="47" xr10:uidLastSave="{00000000-0000-0000-0000-000000000000}"/>
  <bookViews>
    <workbookView xWindow="2640" yWindow="2640" windowWidth="21600" windowHeight="11835" xr2:uid="{FBBDA20E-C853-4ACD-BD03-5DB750AC5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2" i="1"/>
  <c r="T2" i="1"/>
  <c r="T3" i="1"/>
  <c r="T4" i="1"/>
  <c r="T5" i="1"/>
  <c r="T6" i="1"/>
  <c r="S3" i="1"/>
  <c r="S4" i="1"/>
  <c r="S5" i="1"/>
  <c r="S6" i="1"/>
  <c r="S2" i="1"/>
  <c r="Q3" i="1"/>
  <c r="Q4" i="1"/>
  <c r="Q5" i="1"/>
  <c r="Q6" i="1"/>
  <c r="R3" i="1"/>
  <c r="R4" i="1"/>
  <c r="R5" i="1"/>
  <c r="R6" i="1"/>
  <c r="R2" i="1"/>
  <c r="Q2" i="1"/>
  <c r="F3" i="1"/>
  <c r="F4" i="1"/>
  <c r="F5" i="1"/>
  <c r="F6" i="1"/>
  <c r="E3" i="1"/>
  <c r="N3" i="1" s="1"/>
  <c r="E4" i="1"/>
  <c r="N4" i="1" s="1"/>
  <c r="E5" i="1"/>
  <c r="N5" i="1" s="1"/>
  <c r="E6" i="1"/>
  <c r="N6" i="1" s="1"/>
  <c r="M3" i="1"/>
  <c r="M4" i="1"/>
  <c r="M5" i="1"/>
  <c r="M6" i="1"/>
  <c r="M2" i="1"/>
  <c r="L3" i="1"/>
  <c r="L4" i="1"/>
  <c r="L5" i="1"/>
  <c r="W5" i="1" s="1"/>
  <c r="L6" i="1"/>
  <c r="W6" i="1" s="1"/>
  <c r="L2" i="1"/>
  <c r="K3" i="1"/>
  <c r="K4" i="1"/>
  <c r="K5" i="1"/>
  <c r="K6" i="1"/>
  <c r="K2" i="1"/>
  <c r="J3" i="1"/>
  <c r="J4" i="1"/>
  <c r="J5" i="1"/>
  <c r="J6" i="1"/>
  <c r="I3" i="1"/>
  <c r="I4" i="1"/>
  <c r="I5" i="1"/>
  <c r="I6" i="1"/>
  <c r="H3" i="1"/>
  <c r="H4" i="1"/>
  <c r="H5" i="1"/>
  <c r="H6" i="1"/>
  <c r="J2" i="1"/>
  <c r="I2" i="1"/>
  <c r="H2" i="1"/>
  <c r="F2" i="1"/>
  <c r="E2" i="1"/>
  <c r="N2" i="1" s="1"/>
  <c r="X6" i="1" l="1"/>
  <c r="X5" i="1"/>
  <c r="X4" i="1"/>
  <c r="X3" i="1"/>
  <c r="X2" i="1"/>
  <c r="P6" i="1"/>
  <c r="P5" i="1"/>
  <c r="P3" i="1"/>
  <c r="O4" i="1"/>
  <c r="O3" i="1"/>
  <c r="P2" i="1"/>
  <c r="P4" i="1"/>
  <c r="O2" i="1"/>
  <c r="O6" i="1"/>
  <c r="O5" i="1"/>
  <c r="W4" i="1"/>
  <c r="W3" i="1"/>
  <c r="G2" i="1"/>
  <c r="W2" i="1"/>
  <c r="G6" i="1"/>
  <c r="V5" i="1"/>
  <c r="V6" i="1"/>
  <c r="V4" i="1"/>
  <c r="V2" i="1"/>
  <c r="V3" i="1"/>
  <c r="G5" i="1"/>
  <c r="G4" i="1"/>
  <c r="G3" i="1"/>
</calcChain>
</file>

<file path=xl/sharedStrings.xml><?xml version="1.0" encoding="utf-8"?>
<sst xmlns="http://schemas.openxmlformats.org/spreadsheetml/2006/main" count="29" uniqueCount="29">
  <si>
    <t>Employee</t>
  </si>
  <si>
    <t>Joining Date</t>
  </si>
  <si>
    <t>Birth Date</t>
  </si>
  <si>
    <t>Start Time</t>
  </si>
  <si>
    <t>Ujjwal</t>
  </si>
  <si>
    <t>Rahul</t>
  </si>
  <si>
    <t>Aman</t>
  </si>
  <si>
    <t>Neha</t>
  </si>
  <si>
    <t>Priya</t>
  </si>
  <si>
    <t>Today()</t>
  </si>
  <si>
    <t>Now()</t>
  </si>
  <si>
    <t>Date()</t>
  </si>
  <si>
    <t>Day()</t>
  </si>
  <si>
    <t>Month()</t>
  </si>
  <si>
    <t>Year()</t>
  </si>
  <si>
    <t>Hour()</t>
  </si>
  <si>
    <t>Minute()</t>
  </si>
  <si>
    <t>Second()</t>
  </si>
  <si>
    <t>Days()</t>
  </si>
  <si>
    <t>Edate() Month</t>
  </si>
  <si>
    <t>Edate() Year</t>
  </si>
  <si>
    <t>EOMonth()</t>
  </si>
  <si>
    <t>Weekday()</t>
  </si>
  <si>
    <t>Weeknum()</t>
  </si>
  <si>
    <t>Networkday()</t>
  </si>
  <si>
    <t>Time()</t>
  </si>
  <si>
    <t>Experience Status</t>
  </si>
  <si>
    <t>Datedif() Month</t>
  </si>
  <si>
    <t>Datedif()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</si>
</sst>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DF78-2759-45E3-A192-5145E6108EF3}">
  <dimension ref="A1:BN460"/>
  <sheetViews>
    <sheetView tabSelected="1" zoomScale="130" zoomScaleNormal="130" workbookViewId="0">
      <selection activeCell="B10" sqref="B10"/>
    </sheetView>
  </sheetViews>
  <sheetFormatPr defaultRowHeight="15" x14ac:dyDescent="0.25"/>
  <cols>
    <col min="1" max="1" width="12.42578125" bestFit="1" customWidth="1"/>
    <col min="2" max="2" width="15.28515625" bestFit="1" customWidth="1"/>
    <col min="3" max="3" width="13.140625" bestFit="1" customWidth="1"/>
    <col min="4" max="4" width="13" bestFit="1" customWidth="1"/>
    <col min="5" max="5" width="13.140625" bestFit="1" customWidth="1"/>
    <col min="6" max="6" width="19.28515625" bestFit="1" customWidth="1"/>
    <col min="7" max="7" width="13.140625" bestFit="1" customWidth="1"/>
    <col min="8" max="8" width="7.28515625" bestFit="1" customWidth="1"/>
    <col min="9" max="9" width="10.7109375" bestFit="1" customWidth="1"/>
    <col min="10" max="10" width="8.140625" bestFit="1" customWidth="1"/>
    <col min="11" max="11" width="8.5703125" bestFit="1" customWidth="1"/>
    <col min="12" max="12" width="11.42578125" bestFit="1" customWidth="1"/>
    <col min="13" max="13" width="11.140625" bestFit="1" customWidth="1"/>
    <col min="14" max="14" width="8.42578125" bestFit="1" customWidth="1"/>
    <col min="15" max="15" width="17.28515625" bestFit="1" customWidth="1"/>
    <col min="16" max="16" width="20" bestFit="1" customWidth="1"/>
    <col min="17" max="17" width="18" bestFit="1" customWidth="1"/>
    <col min="18" max="18" width="15.28515625" bestFit="1" customWidth="1"/>
    <col min="19" max="19" width="14" bestFit="1" customWidth="1"/>
    <col min="20" max="20" width="13.7109375" bestFit="1" customWidth="1"/>
    <col min="21" max="21" width="14.7109375" bestFit="1" customWidth="1"/>
    <col min="22" max="22" width="17.140625" bestFit="1" customWidth="1"/>
    <col min="23" max="23" width="10" bestFit="1" customWidth="1"/>
    <col min="24" max="24" width="22" bestFit="1" customWidth="1"/>
  </cols>
  <sheetData>
    <row r="1" spans="1:66" s="7" customFormat="1" ht="18.7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16</v>
      </c>
      <c r="M1" s="6" t="s">
        <v>17</v>
      </c>
      <c r="N1" s="6" t="s">
        <v>18</v>
      </c>
      <c r="O1" s="6" t="s">
        <v>28</v>
      </c>
      <c r="P1" s="6" t="s">
        <v>27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26</v>
      </c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6" x14ac:dyDescent="0.25">
      <c r="A2" s="1" t="s">
        <v>4</v>
      </c>
      <c r="B2" s="2">
        <v>45306</v>
      </c>
      <c r="C2" s="2">
        <v>38127</v>
      </c>
      <c r="D2" s="3">
        <v>0.3964699074074074</v>
      </c>
      <c r="E2" s="2">
        <f ca="1">TODAY()</f>
        <v>46268</v>
      </c>
      <c r="F2" s="4">
        <f ca="1">NOW()</f>
        <v>46268.873727199076</v>
      </c>
      <c r="G2" s="2">
        <f>DATE(J2,I2,H2)</f>
        <v>45306</v>
      </c>
      <c r="H2" s="1">
        <f>DAY(B2)</f>
        <v>15</v>
      </c>
      <c r="I2" s="1">
        <f>MONTH(B2)</f>
        <v>1</v>
      </c>
      <c r="J2" s="1">
        <f>YEAR(B2)</f>
        <v>2024</v>
      </c>
      <c r="K2" s="1">
        <f>HOUR(D2)</f>
        <v>9</v>
      </c>
      <c r="L2" s="1">
        <f>MINUTE(D2)</f>
        <v>30</v>
      </c>
      <c r="M2" s="1">
        <f>SECOND(D2)</f>
        <v>55</v>
      </c>
      <c r="N2" s="1">
        <f ca="1">_xlfn.DAYS(E2,B2)</f>
        <v>962</v>
      </c>
      <c r="O2" s="1">
        <f ca="1">DATEDIF(B2,E2,"y")</f>
        <v>2</v>
      </c>
      <c r="P2" s="1">
        <f ca="1">DATEDIF(B2,E2,"M")</f>
        <v>31</v>
      </c>
      <c r="Q2" s="2">
        <f>EDATE(B2,6)</f>
        <v>45488</v>
      </c>
      <c r="R2" s="2">
        <f>EDATE(B2,(12*3))</f>
        <v>46402</v>
      </c>
      <c r="S2" s="2">
        <f>EOMONTH(B2,0)</f>
        <v>45322</v>
      </c>
      <c r="T2" s="1">
        <f>WEEKDAY(B2,2)</f>
        <v>1</v>
      </c>
      <c r="U2" s="1">
        <f>WEEKNUM(B2,2)</f>
        <v>3</v>
      </c>
      <c r="V2" s="1">
        <f ca="1">NETWORKDAYS(B2,E2)</f>
        <v>689</v>
      </c>
      <c r="W2" s="5">
        <f>TIME(K2,L2,M2)</f>
        <v>0.3964699074074074</v>
      </c>
      <c r="X2" s="1" t="str">
        <f ca="1">IF(DATEDIF(B2,E2,"Y")&gt;=3,"Experienced","New Emoloyee")</f>
        <v>New Emoloyee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x14ac:dyDescent="0.25">
      <c r="A3" s="1" t="s">
        <v>5</v>
      </c>
      <c r="B3" s="2">
        <v>44995</v>
      </c>
      <c r="C3" s="2">
        <v>37848</v>
      </c>
      <c r="D3" s="3">
        <v>0.42711805555555554</v>
      </c>
      <c r="E3" s="2">
        <f t="shared" ref="E3:E6" ca="1" si="0">TODAY()</f>
        <v>46268</v>
      </c>
      <c r="F3" s="4">
        <f t="shared" ref="F3:F6" ca="1" si="1">NOW()</f>
        <v>46268.873727199076</v>
      </c>
      <c r="G3" s="2">
        <f>DATE(J3,I3,H3)</f>
        <v>44995</v>
      </c>
      <c r="H3" s="1">
        <f t="shared" ref="H3:H6" si="2">DAY(B3)</f>
        <v>10</v>
      </c>
      <c r="I3" s="1">
        <f t="shared" ref="I3:I6" si="3">MONTH(B3)</f>
        <v>3</v>
      </c>
      <c r="J3" s="1">
        <f t="shared" ref="J3:J6" si="4">YEAR(B3)</f>
        <v>2023</v>
      </c>
      <c r="K3" s="1">
        <f t="shared" ref="K3:K6" si="5">HOUR(D3)</f>
        <v>10</v>
      </c>
      <c r="L3" s="1">
        <f t="shared" ref="L3:L6" si="6">MINUTE(D3)</f>
        <v>15</v>
      </c>
      <c r="M3" s="1">
        <f t="shared" ref="M3:M6" si="7">SECOND(D3)</f>
        <v>3</v>
      </c>
      <c r="N3" s="1">
        <f t="shared" ref="N3:N6" ca="1" si="8">_xlfn.DAYS(E3,B3)</f>
        <v>1273</v>
      </c>
      <c r="O3" s="1">
        <f t="shared" ref="O3:O6" ca="1" si="9">DATEDIF(B3,E3,"y")</f>
        <v>3</v>
      </c>
      <c r="P3" s="1">
        <f t="shared" ref="P3:P6" ca="1" si="10">DATEDIF(B3,E3,"M")</f>
        <v>41</v>
      </c>
      <c r="Q3" s="2">
        <f t="shared" ref="Q3:Q6" si="11">EDATE(B3,6)</f>
        <v>45179</v>
      </c>
      <c r="R3" s="2">
        <f t="shared" ref="R3:R6" si="12">EDATE(B3,(12*3))</f>
        <v>46091</v>
      </c>
      <c r="S3" s="2">
        <f t="shared" ref="S3:S6" si="13">EOMONTH(B3,0)</f>
        <v>45016</v>
      </c>
      <c r="T3" s="1">
        <f t="shared" ref="T3:T6" si="14">WEEKDAY(B3,2)</f>
        <v>5</v>
      </c>
      <c r="U3" s="1">
        <f t="shared" ref="U3:U6" si="15">WEEKNUM(B3,2)</f>
        <v>11</v>
      </c>
      <c r="V3" s="1">
        <f t="shared" ref="V3:V6" ca="1" si="16">NETWORKDAYS(B3,E3)</f>
        <v>910</v>
      </c>
      <c r="W3" s="5">
        <f t="shared" ref="W3:W6" si="17">TIME(K3,L3,M3)</f>
        <v>0.42711805555555554</v>
      </c>
      <c r="X3" s="1" t="str">
        <f t="shared" ref="X3:X6" ca="1" si="18">IF(DATEDIF(B3,E3,"Y")&gt;=3,"Experienced","New Emoloyee")</f>
        <v>Experienced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x14ac:dyDescent="0.25">
      <c r="A4" s="1" t="s">
        <v>6</v>
      </c>
      <c r="B4" s="2">
        <v>44737</v>
      </c>
      <c r="C4" s="2">
        <v>37299</v>
      </c>
      <c r="D4" s="3">
        <v>0.40690972222222221</v>
      </c>
      <c r="E4" s="2">
        <f t="shared" ca="1" si="0"/>
        <v>46268</v>
      </c>
      <c r="F4" s="4">
        <f t="shared" ca="1" si="1"/>
        <v>46268.873727199076</v>
      </c>
      <c r="G4" s="2">
        <f t="shared" ref="G4:G6" si="19">DATE(J4,I4,H4)</f>
        <v>44737</v>
      </c>
      <c r="H4" s="1">
        <f t="shared" si="2"/>
        <v>25</v>
      </c>
      <c r="I4" s="1">
        <f t="shared" si="3"/>
        <v>6</v>
      </c>
      <c r="J4" s="1">
        <f t="shared" si="4"/>
        <v>2022</v>
      </c>
      <c r="K4" s="1">
        <f t="shared" si="5"/>
        <v>9</v>
      </c>
      <c r="L4" s="1">
        <f t="shared" si="6"/>
        <v>45</v>
      </c>
      <c r="M4" s="1">
        <f t="shared" si="7"/>
        <v>57</v>
      </c>
      <c r="N4" s="1">
        <f t="shared" ca="1" si="8"/>
        <v>1531</v>
      </c>
      <c r="O4" s="1">
        <f t="shared" ca="1" si="9"/>
        <v>4</v>
      </c>
      <c r="P4" s="1">
        <f t="shared" ca="1" si="10"/>
        <v>50</v>
      </c>
      <c r="Q4" s="2">
        <f t="shared" si="11"/>
        <v>44920</v>
      </c>
      <c r="R4" s="2">
        <f t="shared" si="12"/>
        <v>45833</v>
      </c>
      <c r="S4" s="2">
        <f t="shared" si="13"/>
        <v>44742</v>
      </c>
      <c r="T4" s="1">
        <f t="shared" si="14"/>
        <v>6</v>
      </c>
      <c r="U4" s="1">
        <f t="shared" si="15"/>
        <v>26</v>
      </c>
      <c r="V4" s="1">
        <f t="shared" ca="1" si="16"/>
        <v>1094</v>
      </c>
      <c r="W4" s="5">
        <f t="shared" si="17"/>
        <v>0.40690972222222221</v>
      </c>
      <c r="X4" s="1" t="str">
        <f t="shared" ca="1" si="18"/>
        <v>Experienced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x14ac:dyDescent="0.25">
      <c r="A5" s="1" t="s">
        <v>7</v>
      </c>
      <c r="B5" s="2">
        <v>45540</v>
      </c>
      <c r="C5" s="2">
        <v>38321</v>
      </c>
      <c r="D5" s="3">
        <v>0.36819444444444444</v>
      </c>
      <c r="E5" s="2">
        <f t="shared" ca="1" si="0"/>
        <v>46268</v>
      </c>
      <c r="F5" s="4">
        <f t="shared" ca="1" si="1"/>
        <v>46268.873727199076</v>
      </c>
      <c r="G5" s="2">
        <f t="shared" si="19"/>
        <v>45540</v>
      </c>
      <c r="H5" s="1">
        <f t="shared" si="2"/>
        <v>5</v>
      </c>
      <c r="I5" s="1">
        <f t="shared" si="3"/>
        <v>9</v>
      </c>
      <c r="J5" s="1">
        <f t="shared" si="4"/>
        <v>2024</v>
      </c>
      <c r="K5" s="1">
        <f t="shared" si="5"/>
        <v>8</v>
      </c>
      <c r="L5" s="1">
        <f t="shared" si="6"/>
        <v>50</v>
      </c>
      <c r="M5" s="1">
        <f t="shared" si="7"/>
        <v>12</v>
      </c>
      <c r="N5" s="1">
        <f t="shared" ca="1" si="8"/>
        <v>728</v>
      </c>
      <c r="O5" s="1">
        <f t="shared" ca="1" si="9"/>
        <v>1</v>
      </c>
      <c r="P5" s="1">
        <f t="shared" ca="1" si="10"/>
        <v>23</v>
      </c>
      <c r="Q5" s="2">
        <f t="shared" si="11"/>
        <v>45721</v>
      </c>
      <c r="R5" s="2">
        <f t="shared" si="12"/>
        <v>46635</v>
      </c>
      <c r="S5" s="2">
        <f t="shared" si="13"/>
        <v>45565</v>
      </c>
      <c r="T5" s="1">
        <f t="shared" si="14"/>
        <v>4</v>
      </c>
      <c r="U5" s="1">
        <f t="shared" si="15"/>
        <v>36</v>
      </c>
      <c r="V5" s="1">
        <f t="shared" ca="1" si="16"/>
        <v>521</v>
      </c>
      <c r="W5" s="5">
        <f t="shared" si="17"/>
        <v>0.36819444444444444</v>
      </c>
      <c r="X5" s="1" t="str">
        <f t="shared" ca="1" si="18"/>
        <v>New Emoloyee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x14ac:dyDescent="0.25">
      <c r="A6" s="1" t="s">
        <v>8</v>
      </c>
      <c r="B6" s="2">
        <v>44548</v>
      </c>
      <c r="C6" s="2">
        <v>37097</v>
      </c>
      <c r="D6" s="3">
        <v>0.41684027777777777</v>
      </c>
      <c r="E6" s="2">
        <f t="shared" ca="1" si="0"/>
        <v>46268</v>
      </c>
      <c r="F6" s="4">
        <f t="shared" ca="1" si="1"/>
        <v>46268.873727199076</v>
      </c>
      <c r="G6" s="2">
        <f t="shared" si="19"/>
        <v>44548</v>
      </c>
      <c r="H6" s="1">
        <f t="shared" si="2"/>
        <v>18</v>
      </c>
      <c r="I6" s="1">
        <f t="shared" si="3"/>
        <v>12</v>
      </c>
      <c r="J6" s="1">
        <f t="shared" si="4"/>
        <v>2021</v>
      </c>
      <c r="K6" s="1">
        <f t="shared" si="5"/>
        <v>10</v>
      </c>
      <c r="L6" s="1">
        <f t="shared" si="6"/>
        <v>0</v>
      </c>
      <c r="M6" s="1">
        <f t="shared" si="7"/>
        <v>15</v>
      </c>
      <c r="N6" s="1">
        <f t="shared" ca="1" si="8"/>
        <v>1720</v>
      </c>
      <c r="O6" s="1">
        <f t="shared" ca="1" si="9"/>
        <v>4</v>
      </c>
      <c r="P6" s="1">
        <f t="shared" ca="1" si="10"/>
        <v>56</v>
      </c>
      <c r="Q6" s="2">
        <f t="shared" si="11"/>
        <v>44730</v>
      </c>
      <c r="R6" s="2">
        <f t="shared" si="12"/>
        <v>45644</v>
      </c>
      <c r="S6" s="2">
        <f t="shared" si="13"/>
        <v>44561</v>
      </c>
      <c r="T6" s="1">
        <f t="shared" si="14"/>
        <v>6</v>
      </c>
      <c r="U6" s="1">
        <f t="shared" si="15"/>
        <v>51</v>
      </c>
      <c r="V6" s="1">
        <f t="shared" ca="1" si="16"/>
        <v>1229</v>
      </c>
      <c r="W6" s="5">
        <f t="shared" si="17"/>
        <v>0.41684027777777777</v>
      </c>
      <c r="X6" s="1" t="str">
        <f t="shared" ca="1" si="18"/>
        <v>Experienced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  <row r="42" spans="1:6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</row>
    <row r="43" spans="1:6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</row>
    <row r="44" spans="1:6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</row>
    <row r="45" spans="1:6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</row>
    <row r="46" spans="1:6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</row>
    <row r="47" spans="1:6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</row>
    <row r="48" spans="1:6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</row>
    <row r="49" spans="1:6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</row>
    <row r="50" spans="1:6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</row>
    <row r="51" spans="1:6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</row>
    <row r="52" spans="1:6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</row>
    <row r="53" spans="1:6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</row>
    <row r="54" spans="1:6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</row>
    <row r="55" spans="1:6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</row>
    <row r="56" spans="1:6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</row>
    <row r="57" spans="1:6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</row>
    <row r="58" spans="1:6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</row>
    <row r="59" spans="1:6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</row>
    <row r="60" spans="1:6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</row>
    <row r="61" spans="1:6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</row>
    <row r="62" spans="1:6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</row>
    <row r="63" spans="1:6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</row>
    <row r="64" spans="1:6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</row>
    <row r="65" spans="1:6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</row>
    <row r="66" spans="1:6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</row>
    <row r="67" spans="1:6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</row>
    <row r="68" spans="1:6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</row>
    <row r="69" spans="1:6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</row>
    <row r="70" spans="1:6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</row>
    <row r="71" spans="1:6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</row>
    <row r="72" spans="1:6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</row>
    <row r="73" spans="1:6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</row>
    <row r="74" spans="1:6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</row>
    <row r="75" spans="1:6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</row>
    <row r="76" spans="1:6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6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6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</row>
    <row r="81" spans="1:6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</row>
    <row r="82" spans="1:6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</row>
    <row r="83" spans="1:6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</row>
    <row r="84" spans="1:6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</row>
    <row r="85" spans="1:6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</row>
    <row r="86" spans="1:6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</row>
    <row r="87" spans="1:6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</row>
    <row r="88" spans="1:6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</row>
    <row r="89" spans="1:6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</row>
    <row r="90" spans="1:6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</row>
    <row r="91" spans="1:6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</row>
    <row r="92" spans="1:6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</row>
    <row r="93" spans="1:6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</row>
    <row r="94" spans="1:6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</row>
    <row r="95" spans="1:6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</row>
    <row r="96" spans="1:6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</row>
    <row r="97" spans="1:6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</row>
    <row r="98" spans="1:6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</row>
    <row r="99" spans="1:6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</row>
    <row r="100" spans="1:6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</row>
    <row r="101" spans="1:6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</row>
    <row r="102" spans="1:6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</row>
    <row r="103" spans="1:6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</row>
    <row r="104" spans="1:6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</row>
    <row r="105" spans="1:6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</row>
    <row r="106" spans="1:6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</row>
    <row r="107" spans="1:6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</row>
    <row r="108" spans="1:6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</row>
    <row r="109" spans="1:6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</row>
    <row r="110" spans="1:6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</row>
    <row r="111" spans="1:6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</row>
    <row r="112" spans="1:6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</row>
    <row r="113" spans="1:6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</row>
    <row r="114" spans="1:6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</row>
    <row r="115" spans="1:6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</row>
    <row r="116" spans="1:6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</row>
    <row r="117" spans="1:6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</row>
    <row r="118" spans="1:6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</row>
    <row r="119" spans="1:6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</row>
    <row r="120" spans="1:6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</row>
    <row r="121" spans="1:6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</row>
    <row r="122" spans="1:6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</row>
    <row r="123" spans="1:6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</row>
    <row r="124" spans="1:6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</row>
    <row r="125" spans="1:6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</row>
    <row r="126" spans="1:6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</row>
    <row r="127" spans="1:6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</row>
    <row r="128" spans="1:6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</row>
    <row r="129" spans="1:6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</row>
    <row r="130" spans="1:6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</row>
    <row r="131" spans="1:6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</row>
    <row r="132" spans="1:6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</row>
    <row r="133" spans="1:6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</row>
    <row r="134" spans="1:6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</row>
    <row r="135" spans="1:6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</row>
    <row r="136" spans="1:6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</row>
    <row r="137" spans="1:6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</row>
    <row r="138" spans="1:6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</row>
    <row r="139" spans="1:6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</row>
    <row r="140" spans="1:6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</row>
    <row r="141" spans="1:6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</row>
    <row r="142" spans="1:6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</row>
    <row r="143" spans="1:6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</row>
    <row r="144" spans="1:6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</row>
    <row r="145" spans="1:6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</row>
    <row r="146" spans="1:6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</row>
    <row r="147" spans="1:6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</row>
    <row r="148" spans="1:6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</row>
    <row r="149" spans="1:6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</row>
    <row r="150" spans="1:6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</row>
    <row r="151" spans="1:6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</row>
    <row r="152" spans="1:6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</row>
    <row r="153" spans="1:6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</row>
    <row r="154" spans="1:6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</row>
    <row r="155" spans="1:6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</row>
    <row r="156" spans="1:6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</row>
    <row r="157" spans="1:6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</row>
    <row r="158" spans="1:6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</row>
    <row r="159" spans="1:6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</row>
    <row r="160" spans="1:6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</row>
    <row r="161" spans="1:6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</row>
    <row r="162" spans="1:6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</row>
    <row r="163" spans="1:6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</row>
    <row r="164" spans="1:6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</row>
    <row r="165" spans="1:6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</row>
    <row r="166" spans="1:6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</row>
    <row r="167" spans="1:6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</row>
    <row r="168" spans="1:6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</row>
    <row r="169" spans="1:6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</row>
    <row r="170" spans="1:6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</row>
    <row r="171" spans="1:6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</row>
    <row r="172" spans="1:6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</row>
    <row r="173" spans="1:6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</row>
    <row r="174" spans="1:6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</row>
    <row r="175" spans="1:6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</row>
    <row r="176" spans="1:6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</row>
    <row r="177" spans="1:6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</row>
    <row r="178" spans="1:6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</row>
    <row r="179" spans="1:6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</row>
    <row r="180" spans="1:6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</row>
    <row r="181" spans="1:6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</row>
    <row r="182" spans="1:6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</row>
    <row r="183" spans="1:6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</row>
    <row r="184" spans="1:6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</row>
    <row r="185" spans="1:6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</row>
    <row r="186" spans="1:6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</row>
    <row r="187" spans="1:6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</row>
    <row r="188" spans="1:6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</row>
    <row r="189" spans="1:6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</row>
    <row r="190" spans="1:6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</row>
    <row r="191" spans="1:6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</row>
    <row r="192" spans="1:6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</row>
    <row r="193" spans="1:6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</row>
    <row r="194" spans="1:6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</row>
    <row r="195" spans="1:6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</row>
    <row r="196" spans="1:6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</row>
    <row r="197" spans="1:6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</row>
    <row r="198" spans="1:6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</row>
    <row r="199" spans="1:6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</row>
    <row r="200" spans="1:6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</row>
    <row r="201" spans="1:6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</row>
    <row r="202" spans="1:6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</row>
    <row r="203" spans="1:6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</row>
    <row r="204" spans="1:6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</row>
    <row r="205" spans="1:6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</row>
    <row r="206" spans="1:6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</row>
    <row r="207" spans="1:6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</row>
    <row r="208" spans="1:6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</row>
    <row r="209" spans="1:6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</row>
    <row r="210" spans="1:6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</row>
    <row r="211" spans="1:6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</row>
    <row r="212" spans="1:6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</row>
    <row r="213" spans="1:6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</row>
    <row r="214" spans="1:6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</row>
    <row r="215" spans="1:6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</row>
    <row r="216" spans="1:6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</row>
    <row r="217" spans="1:6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</row>
    <row r="218" spans="1:6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</row>
    <row r="219" spans="1:6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</row>
    <row r="220" spans="1:6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</row>
    <row r="221" spans="1:6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</row>
    <row r="222" spans="1:6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</row>
    <row r="223" spans="1:6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</row>
    <row r="224" spans="1:6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</row>
    <row r="225" spans="1:6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</row>
    <row r="226" spans="1:6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</row>
    <row r="227" spans="1:6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</row>
    <row r="228" spans="1:6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</row>
    <row r="229" spans="1:6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</row>
    <row r="230" spans="1:6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</row>
    <row r="231" spans="1:6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</row>
    <row r="232" spans="1:6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</row>
    <row r="233" spans="1:6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</row>
    <row r="234" spans="1:6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</row>
    <row r="235" spans="1:6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</row>
    <row r="236" spans="1:6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</row>
    <row r="237" spans="1:6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</row>
    <row r="238" spans="1:6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</row>
    <row r="239" spans="1:6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</row>
    <row r="240" spans="1:6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</row>
    <row r="241" spans="1:6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</row>
    <row r="242" spans="1:6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</row>
    <row r="243" spans="1:6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</row>
    <row r="244" spans="1:6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</row>
    <row r="245" spans="1:6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</row>
    <row r="246" spans="1:6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</row>
    <row r="247" spans="1:6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</row>
    <row r="248" spans="1:6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</row>
    <row r="249" spans="1:6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</row>
    <row r="250" spans="1:6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</row>
    <row r="251" spans="1:6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</row>
    <row r="252" spans="1:6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</row>
    <row r="253" spans="1:6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</row>
    <row r="254" spans="1:6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</row>
    <row r="255" spans="1:6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</row>
    <row r="256" spans="1:6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</row>
    <row r="257" spans="1:6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</row>
    <row r="258" spans="1:6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</row>
    <row r="259" spans="1:6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</row>
    <row r="260" spans="1:6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</row>
    <row r="261" spans="1:6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</row>
    <row r="262" spans="1:6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</row>
    <row r="263" spans="1:6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</row>
    <row r="264" spans="1:6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</row>
    <row r="265" spans="1:6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</row>
    <row r="266" spans="1:6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</row>
    <row r="267" spans="1:6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</row>
    <row r="268" spans="1:6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</row>
    <row r="269" spans="1:6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</row>
    <row r="270" spans="1:6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</row>
    <row r="271" spans="1:6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</row>
    <row r="272" spans="1:6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</row>
    <row r="273" spans="1:6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</row>
    <row r="274" spans="1:6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</row>
    <row r="275" spans="1:6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</row>
    <row r="276" spans="1:6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</row>
    <row r="277" spans="1:6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</row>
    <row r="278" spans="1:6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</row>
    <row r="279" spans="1:6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</row>
    <row r="280" spans="1:6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</row>
    <row r="281" spans="1:6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</row>
    <row r="282" spans="1:6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</row>
    <row r="283" spans="1:6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</row>
    <row r="284" spans="1:6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</row>
    <row r="285" spans="1:6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</row>
    <row r="286" spans="1:6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</row>
    <row r="287" spans="1:6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</row>
    <row r="288" spans="1:6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</row>
    <row r="289" spans="1:6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</row>
    <row r="290" spans="1:6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</row>
    <row r="291" spans="1:6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</row>
    <row r="292" spans="1:6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</row>
    <row r="293" spans="1:6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</row>
    <row r="294" spans="1:6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</row>
    <row r="295" spans="1:6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</row>
    <row r="296" spans="1:6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</row>
    <row r="297" spans="1:6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</row>
    <row r="298" spans="1:6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</row>
    <row r="299" spans="1:6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</row>
    <row r="300" spans="1:6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</row>
    <row r="301" spans="1:6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</row>
    <row r="302" spans="1:6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</row>
    <row r="303" spans="1:6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</row>
    <row r="304" spans="1:6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</row>
    <row r="305" spans="1:6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</row>
    <row r="306" spans="1:6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</row>
    <row r="307" spans="1:6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</row>
    <row r="308" spans="1:6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</row>
    <row r="309" spans="1:6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</row>
    <row r="310" spans="1:6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</row>
    <row r="311" spans="1:6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</row>
    <row r="312" spans="1:6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</row>
    <row r="313" spans="1:6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</row>
    <row r="314" spans="1:6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</row>
    <row r="315" spans="1:6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</row>
    <row r="316" spans="1:6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</row>
    <row r="317" spans="1:6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</row>
    <row r="318" spans="1:6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</row>
    <row r="319" spans="1:6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</row>
    <row r="320" spans="1:6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</row>
    <row r="321" spans="1:6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</row>
    <row r="322" spans="1:6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</row>
    <row r="323" spans="1:6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</row>
    <row r="324" spans="1:6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</row>
    <row r="325" spans="1:6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</row>
    <row r="326" spans="1:6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</row>
    <row r="327" spans="1:6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</row>
    <row r="328" spans="1:6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</row>
    <row r="329" spans="1:6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</row>
    <row r="330" spans="1:6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</row>
    <row r="331" spans="1:6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</row>
    <row r="332" spans="1:6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</row>
    <row r="333" spans="1:6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</row>
    <row r="334" spans="1:6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</row>
    <row r="335" spans="1:6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</row>
    <row r="336" spans="1:6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</row>
    <row r="337" spans="1:6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</row>
    <row r="338" spans="1:6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</row>
    <row r="339" spans="1:6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</row>
    <row r="340" spans="1:6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</row>
    <row r="341" spans="1:6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</row>
    <row r="342" spans="1:6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</row>
    <row r="343" spans="1:6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</row>
    <row r="344" spans="1:6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</row>
    <row r="345" spans="1:6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</row>
    <row r="346" spans="1:6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</row>
    <row r="347" spans="1:6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</row>
    <row r="348" spans="1:6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</row>
    <row r="349" spans="1:6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</row>
    <row r="350" spans="1:6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</row>
    <row r="351" spans="1:6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</row>
    <row r="352" spans="1:6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</row>
    <row r="353" spans="1:6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</row>
    <row r="354" spans="1:6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</row>
    <row r="355" spans="1:6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</row>
    <row r="356" spans="1:6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</row>
    <row r="357" spans="1:6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</row>
    <row r="358" spans="1:6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</row>
    <row r="359" spans="1:6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</row>
    <row r="360" spans="1:6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</row>
    <row r="361" spans="1:6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</row>
    <row r="362" spans="1:6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</row>
    <row r="363" spans="1:6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</row>
    <row r="364" spans="1:6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</row>
    <row r="365" spans="1:6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</row>
    <row r="366" spans="1:6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</row>
    <row r="367" spans="1:6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</row>
    <row r="368" spans="1:6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</row>
    <row r="369" spans="1:6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</row>
    <row r="370" spans="1:6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</row>
    <row r="371" spans="1:6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</row>
    <row r="372" spans="1:6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</row>
    <row r="373" spans="1:6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</row>
    <row r="374" spans="1:6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</row>
    <row r="375" spans="1:6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</row>
    <row r="376" spans="1:6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</row>
    <row r="377" spans="1:6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</row>
    <row r="378" spans="1:6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</row>
    <row r="379" spans="1:6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</row>
    <row r="380" spans="1:6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</row>
    <row r="381" spans="1:6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</row>
    <row r="382" spans="1:6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</row>
    <row r="383" spans="1:6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</row>
    <row r="384" spans="1:6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</row>
    <row r="385" spans="1:6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</row>
    <row r="386" spans="1:6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</row>
    <row r="387" spans="1:6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</row>
    <row r="388" spans="1:6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</row>
    <row r="389" spans="1:6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</row>
    <row r="390" spans="1:6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</row>
    <row r="391" spans="1:6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</row>
    <row r="392" spans="1:6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</row>
    <row r="393" spans="1:6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</row>
    <row r="394" spans="1:6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</row>
    <row r="395" spans="1:6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</row>
    <row r="396" spans="1:6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</row>
    <row r="397" spans="1:6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</row>
    <row r="398" spans="1:6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</row>
    <row r="399" spans="1:6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</row>
    <row r="400" spans="1:6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</row>
    <row r="401" spans="1:6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</row>
    <row r="402" spans="1:6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</row>
    <row r="403" spans="1:6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</row>
    <row r="404" spans="1:6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</row>
    <row r="405" spans="1:6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</row>
    <row r="406" spans="1:6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</row>
    <row r="407" spans="1:6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</row>
    <row r="408" spans="1:6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</row>
    <row r="409" spans="1:6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</row>
    <row r="410" spans="1:6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</row>
    <row r="411" spans="1:6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</row>
    <row r="412" spans="1:6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</row>
    <row r="413" spans="1:6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</row>
    <row r="414" spans="1:6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</row>
    <row r="415" spans="1:6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</row>
    <row r="416" spans="1:6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</row>
    <row r="417" spans="1:6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</row>
    <row r="418" spans="1:6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</row>
    <row r="419" spans="1:6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</row>
    <row r="420" spans="1:6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</row>
    <row r="421" spans="1:6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</row>
    <row r="422" spans="1:6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</row>
    <row r="423" spans="1:6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</row>
    <row r="424" spans="1:6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</row>
    <row r="425" spans="1:6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</row>
    <row r="426" spans="1:6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</row>
    <row r="427" spans="1:6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</row>
    <row r="428" spans="1:6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</row>
    <row r="429" spans="1:6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</row>
    <row r="430" spans="1:6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</row>
    <row r="431" spans="1:6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</row>
    <row r="432" spans="1:6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</row>
    <row r="433" spans="1:6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</row>
    <row r="434" spans="1:6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</row>
    <row r="435" spans="1:6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</row>
    <row r="436" spans="1:6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</row>
    <row r="437" spans="1:6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</row>
    <row r="438" spans="1:6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</row>
    <row r="439" spans="1:6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</row>
    <row r="440" spans="1:6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</row>
    <row r="441" spans="1:6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</row>
    <row r="442" spans="1:6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</row>
    <row r="443" spans="1:6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</row>
    <row r="444" spans="1:6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</row>
    <row r="445" spans="1:6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</row>
    <row r="446" spans="1:6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</row>
    <row r="447" spans="1:6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</row>
    <row r="448" spans="1:6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</row>
    <row r="449" spans="1:6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</row>
    <row r="450" spans="1:6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</row>
    <row r="451" spans="1:6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</row>
    <row r="452" spans="1:6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</row>
    <row r="453" spans="1:6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</row>
    <row r="454" spans="1:6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</row>
    <row r="455" spans="1:6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</row>
    <row r="456" spans="1:6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</row>
    <row r="457" spans="1:6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</row>
    <row r="458" spans="1:6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</row>
    <row r="459" spans="1:6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</row>
    <row r="460" spans="1:6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2026-09-03T09:53:30Z</dcterms:created>
  <dcterms:modified xsi:type="dcterms:W3CDTF">2026-09-03T15:30:28Z</dcterms:modified>
</cp:coreProperties>
</file>