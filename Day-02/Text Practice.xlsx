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Analytics\A Excel\Excel Course\Day 02\"/>
    </mc:Choice>
  </mc:AlternateContent>
  <xr:revisionPtr revIDLastSave="0" documentId="13_ncr:1_{950BA025-BE52-490D-ADA9-D54311941BD8}" xr6:coauthVersionLast="47" xr6:coauthVersionMax="47" xr10:uidLastSave="{00000000-0000-0000-0000-000000000000}"/>
  <bookViews>
    <workbookView xWindow="-120" yWindow="-120" windowWidth="29040" windowHeight="16440" xr2:uid="{CCA4E248-EF20-441C-84DB-15F4BABE7946}"/>
  </bookViews>
  <sheets>
    <sheet name="Text Practice" sheetId="1" r:id="rId1"/>
  </sheets>
  <definedNames>
    <definedName name="_xlnm._FilterDatabase" localSheetId="0" hidden="1">'Text Practice'!#REF!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5" i="1" l="1"/>
  <c r="Z4" i="1"/>
  <c r="Z6" i="1"/>
  <c r="Z3" i="1"/>
  <c r="Z2" i="1"/>
  <c r="W3" i="1"/>
  <c r="W4" i="1"/>
  <c r="W5" i="1"/>
  <c r="W6" i="1"/>
  <c r="W2" i="1"/>
  <c r="AB3" i="1"/>
  <c r="AB4" i="1"/>
  <c r="AB5" i="1"/>
  <c r="AB6" i="1"/>
  <c r="AB2" i="1"/>
  <c r="AA3" i="1"/>
  <c r="AA4" i="1"/>
  <c r="AA5" i="1"/>
  <c r="AA6" i="1"/>
  <c r="Y6" i="1"/>
  <c r="X6" i="1"/>
  <c r="V6" i="1"/>
  <c r="U6" i="1"/>
  <c r="T6" i="1"/>
  <c r="S6" i="1"/>
  <c r="R6" i="1"/>
  <c r="Q6" i="1"/>
  <c r="P6" i="1"/>
  <c r="O6" i="1"/>
  <c r="N6" i="1"/>
  <c r="M6" i="1"/>
  <c r="L6" i="1"/>
  <c r="K6" i="1"/>
  <c r="Y5" i="1"/>
  <c r="X5" i="1"/>
  <c r="V5" i="1"/>
  <c r="U5" i="1"/>
  <c r="T5" i="1"/>
  <c r="S5" i="1"/>
  <c r="R5" i="1"/>
  <c r="Q5" i="1"/>
  <c r="P5" i="1"/>
  <c r="O5" i="1"/>
  <c r="N5" i="1"/>
  <c r="M5" i="1"/>
  <c r="L5" i="1"/>
  <c r="K5" i="1"/>
  <c r="Y4" i="1"/>
  <c r="X4" i="1"/>
  <c r="V4" i="1"/>
  <c r="U4" i="1"/>
  <c r="T4" i="1"/>
  <c r="S4" i="1"/>
  <c r="R4" i="1"/>
  <c r="Q4" i="1"/>
  <c r="P4" i="1"/>
  <c r="O4" i="1"/>
  <c r="N4" i="1"/>
  <c r="M4" i="1"/>
  <c r="L4" i="1"/>
  <c r="K4" i="1"/>
  <c r="Y3" i="1"/>
  <c r="X3" i="1"/>
  <c r="V3" i="1"/>
  <c r="U3" i="1"/>
  <c r="T3" i="1"/>
  <c r="S3" i="1"/>
  <c r="R3" i="1"/>
  <c r="Q3" i="1"/>
  <c r="P3" i="1"/>
  <c r="O3" i="1"/>
  <c r="N3" i="1"/>
  <c r="M3" i="1"/>
  <c r="L3" i="1"/>
  <c r="K3" i="1"/>
  <c r="AA2" i="1"/>
  <c r="Y2" i="1"/>
  <c r="X2" i="1"/>
  <c r="V2" i="1"/>
  <c r="U2" i="1"/>
  <c r="T2" i="1"/>
  <c r="S2" i="1"/>
  <c r="R2" i="1"/>
  <c r="Q2" i="1"/>
  <c r="P2" i="1"/>
  <c r="O2" i="1"/>
  <c r="N2" i="1"/>
  <c r="M2" i="1"/>
  <c r="L2" i="1"/>
  <c r="K2" i="1"/>
</calcChain>
</file>

<file path=xl/sharedStrings.xml><?xml version="1.0" encoding="utf-8"?>
<sst xmlns="http://schemas.openxmlformats.org/spreadsheetml/2006/main" count="68" uniqueCount="68">
  <si>
    <t>First Name</t>
  </si>
  <si>
    <t>Last Name</t>
  </si>
  <si>
    <t>Full Name</t>
  </si>
  <si>
    <t>Email</t>
  </si>
  <si>
    <t>Code</t>
  </si>
  <si>
    <t>Ujjwal</t>
  </si>
  <si>
    <t>Kumar</t>
  </si>
  <si>
    <t>Ujjwal Kumar</t>
  </si>
  <si>
    <t>ujjwal.kumar@gmail.com</t>
  </si>
  <si>
    <t>EMP-2026-001</t>
  </si>
  <si>
    <t>Rahul</t>
  </si>
  <si>
    <t>Sharma</t>
  </si>
  <si>
    <t>Rahul Sharma</t>
  </si>
  <si>
    <t>rahul.sharma@gmail.com</t>
  </si>
  <si>
    <t>EMP-2026-002</t>
  </si>
  <si>
    <t>Aman</t>
  </si>
  <si>
    <t>Singh</t>
  </si>
  <si>
    <t>Aman Singh</t>
  </si>
  <si>
    <t>aman.singh@gmail.com</t>
  </si>
  <si>
    <t>EMP-2026-003</t>
  </si>
  <si>
    <t>Neha</t>
  </si>
  <si>
    <t>Joshi</t>
  </si>
  <si>
    <t>Neha Joshi</t>
  </si>
  <si>
    <t>neha.joshi@gmail.com</t>
  </si>
  <si>
    <t>EMP-2026-004</t>
  </si>
  <si>
    <t>Priya</t>
  </si>
  <si>
    <t>Verma</t>
  </si>
  <si>
    <t>Priya Verma</t>
  </si>
  <si>
    <t>priya.verma@gmail.com</t>
  </si>
  <si>
    <t>EMP-2026-005</t>
  </si>
  <si>
    <t>Left</t>
  </si>
  <si>
    <t>Right</t>
  </si>
  <si>
    <t>Mid</t>
  </si>
  <si>
    <t>Length</t>
  </si>
  <si>
    <t>Find</t>
  </si>
  <si>
    <t>Search</t>
  </si>
  <si>
    <t>Upper</t>
  </si>
  <si>
    <t>Lower</t>
  </si>
  <si>
    <t>Proper</t>
  </si>
  <si>
    <t>Messy Name</t>
  </si>
  <si>
    <t>ujjwal kumar</t>
  </si>
  <si>
    <t>rahul sharma</t>
  </si>
  <si>
    <t>aman singh</t>
  </si>
  <si>
    <t>neha joshi</t>
  </si>
  <si>
    <t>priya verma</t>
  </si>
  <si>
    <t>Ujjwal         Kumar</t>
  </si>
  <si>
    <t>Rahul      Sharma</t>
  </si>
  <si>
    <t>Aman      Singh</t>
  </si>
  <si>
    <t>Neha         Joshi</t>
  </si>
  <si>
    <t>Priya         Verma</t>
  </si>
  <si>
    <t>Trim</t>
  </si>
  <si>
    <t>Concat</t>
  </si>
  <si>
    <t>TextJoin</t>
  </si>
  <si>
    <t>Concatenate</t>
  </si>
  <si>
    <t>Replace</t>
  </si>
  <si>
    <t>Substitute</t>
  </si>
  <si>
    <t>Repeat</t>
  </si>
  <si>
    <t>Text</t>
  </si>
  <si>
    <t>Date/Number</t>
  </si>
  <si>
    <t>Number as Text</t>
  </si>
  <si>
    <t>Value</t>
  </si>
  <si>
    <t>*</t>
  </si>
  <si>
    <t>$</t>
  </si>
  <si>
    <t>&amp;</t>
  </si>
  <si>
    <t>(</t>
  </si>
  <si>
    <t>)</t>
  </si>
  <si>
    <t>Symbol</t>
  </si>
  <si>
    <t>Messy 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</si>
</sst>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44" fontId="0" fillId="0" borderId="0" xfId="2" quotePrefix="1" applyFont="1" applyAlignment="1">
      <alignment horizontal="center" vertical="center"/>
    </xf>
    <xf numFmtId="44" fontId="0" fillId="0" borderId="0" xfId="2" applyFont="1" applyAlignment="1">
      <alignment horizontal="center" vertical="center"/>
    </xf>
    <xf numFmtId="44" fontId="0" fillId="0" borderId="0" xfId="2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3" borderId="0" xfId="0" applyFont="1" applyFill="1" applyAlignment="1">
      <alignment horizontal="center" vertical="center"/>
    </xf>
    <xf numFmtId="44" fontId="1" fillId="3" borderId="0" xfId="2" applyFont="1" applyFill="1"/>
    <xf numFmtId="44" fontId="1" fillId="3" borderId="0" xfId="2" applyFont="1" applyFill="1" applyAlignment="1">
      <alignment horizontal="center" vertical="center"/>
    </xf>
  </cellXfs>
  <cellStyles count="3">
    <cellStyle name="Currency" xfId="2" builtinId="4"/>
    <cellStyle name="Hyperlink" xfId="1" builtinId="8"/>
    <cellStyle name="Normal" xfId="0" builtinId="0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2CD776-40F0-4079-968C-E059F60070C8}" name="Table1" displayName="Table1" ref="A1:AB6" totalsRowShown="0" headerRowDxfId="0" dataDxfId="1">
  <tableColumns count="28">
    <tableColumn id="1" xr3:uid="{084CE202-95B3-4E7F-BF41-6E62FBD3CA24}" name="First Name" dataDxfId="29"/>
    <tableColumn id="2" xr3:uid="{9BA73108-96CA-40ED-943B-76A6E989EC9A}" name="Last Name" dataDxfId="28"/>
    <tableColumn id="3" xr3:uid="{E5B537FC-AB25-41EE-A9B2-435069ADA3C2}" name="Full Name" dataDxfId="27"/>
    <tableColumn id="4" xr3:uid="{A3ACEAD8-7C20-42CF-BBE0-DF8395092C7F}" name="Email" dataDxfId="26" dataCellStyle="Hyperlink"/>
    <tableColumn id="5" xr3:uid="{C00C20C0-C843-460A-B52C-38472D4D243F}" name="Code" dataDxfId="25"/>
    <tableColumn id="6" xr3:uid="{FE3E9FB7-695E-4C22-8878-8332F3CDD98B}" name="Messy Name" dataDxfId="24"/>
    <tableColumn id="7" xr3:uid="{393C3D34-43CC-4140-9DBD-780876D04C5C}" name="Messy Name2" dataDxfId="23"/>
    <tableColumn id="8" xr3:uid="{A2EDD3DB-077F-4D14-B512-282596D2C12C}" name="Date/Number" dataDxfId="22"/>
    <tableColumn id="9" xr3:uid="{5697984F-0288-4EAF-B074-5E02692D56CB}" name="Number as Text" dataDxfId="21" dataCellStyle="Currency"/>
    <tableColumn id="10" xr3:uid="{6CBB7C1B-B7D1-483D-8D7B-C78A2A30EDC6}" name="Symbol" dataDxfId="20" dataCellStyle="Currency"/>
    <tableColumn id="11" xr3:uid="{EBEEF9EB-8171-4CA1-B91C-E9D5A4B5B5D9}" name="Left" dataDxfId="19">
      <calculatedColumnFormula>LEFT(E2,3)</calculatedColumnFormula>
    </tableColumn>
    <tableColumn id="12" xr3:uid="{E794F3C9-113D-4BA6-978F-22C2BA40EA82}" name="Right" dataDxfId="18">
      <calculatedColumnFormula>RIGHT(E2,3)</calculatedColumnFormula>
    </tableColumn>
    <tableColumn id="13" xr3:uid="{4CF23173-AB13-4DE6-B828-C044E4739431}" name="Mid" dataDxfId="17">
      <calculatedColumnFormula>MID(E2,5,4)</calculatedColumnFormula>
    </tableColumn>
    <tableColumn id="14" xr3:uid="{6DE327E7-8449-4FA5-91AD-1AECE5C2CC44}" name="Length" dataDxfId="16">
      <calculatedColumnFormula>LEN(C2)</calculatedColumnFormula>
    </tableColumn>
    <tableColumn id="15" xr3:uid="{44B6FFD6-7EB0-4B30-8842-395A4C7B97CC}" name="Find" dataDxfId="15">
      <calculatedColumnFormula>FIND("@",D2)</calculatedColumnFormula>
    </tableColumn>
    <tableColumn id="16" xr3:uid="{9CD5FF8C-9D46-48CE-8044-29DF8ABDDA3A}" name="Search" dataDxfId="14">
      <calculatedColumnFormula>SEARCH("@",D2)</calculatedColumnFormula>
    </tableColumn>
    <tableColumn id="17" xr3:uid="{A71FF212-5E12-46C7-B57D-3A1DD8F47C5C}" name="Upper" dataDxfId="13">
      <calculatedColumnFormula>UPPER(A2)</calculatedColumnFormula>
    </tableColumn>
    <tableColumn id="18" xr3:uid="{7CF36345-FE60-400D-97EB-4DB7456C3DAC}" name="Lower" dataDxfId="12">
      <calculatedColumnFormula>LOWER(A2)</calculatedColumnFormula>
    </tableColumn>
    <tableColumn id="19" xr3:uid="{75D808C6-964B-4C01-9006-A3323C0973E4}" name="Proper" dataDxfId="11">
      <calculatedColumnFormula>PROPER(F2)</calculatedColumnFormula>
    </tableColumn>
    <tableColumn id="20" xr3:uid="{E3C170EA-5698-4C7F-B9ED-A2338796BB81}" name="Trim" dataDxfId="10">
      <calculatedColumnFormula>TRIM(G2)</calculatedColumnFormula>
    </tableColumn>
    <tableColumn id="21" xr3:uid="{279E68BA-A5BB-4A0D-AFBC-9F2D07EE8F60}" name="Concat" dataDxfId="9">
      <calculatedColumnFormula>_xlfn.CONCAT(A2," ", B2)</calculatedColumnFormula>
    </tableColumn>
    <tableColumn id="22" xr3:uid="{E05D6669-4056-46BB-B9E7-21A9C1C1A818}" name="TextJoin" dataDxfId="8">
      <calculatedColumnFormula>_xlfn.TEXTJOIN(" ",TRUE,A2:B2)</calculatedColumnFormula>
    </tableColumn>
    <tableColumn id="23" xr3:uid="{C87DD581-3D59-4AEF-9886-06D2B0109132}" name="Concatenate" dataDxfId="7">
      <calculatedColumnFormula>CONCATENATE(A2," ",B2)</calculatedColumnFormula>
    </tableColumn>
    <tableColumn id="24" xr3:uid="{1E28D752-FD61-4F57-A959-D61B9AFB61E8}" name="Substitute" dataDxfId="6">
      <calculatedColumnFormula>SUBSTITUTE(D2,".com",".in")</calculatedColumnFormula>
    </tableColumn>
    <tableColumn id="25" xr3:uid="{BB1B4E6F-D576-4D4E-AAE1-12DDEB011A8D}" name="Replace" dataDxfId="5">
      <calculatedColumnFormula>REPLACE(E2,5,4,2027)</calculatedColumnFormula>
    </tableColumn>
    <tableColumn id="26" xr3:uid="{B72BBAC4-5738-448E-85CB-E0D5118A430B}" name="Repeat" dataDxfId="4"/>
    <tableColumn id="27" xr3:uid="{0E4A98FD-BE93-4D85-8135-C759478831C2}" name="Text" dataDxfId="3">
      <calculatedColumnFormula>TEXT(H2,"₹#,##0")</calculatedColumnFormula>
    </tableColumn>
    <tableColumn id="28" xr3:uid="{96BCB886-AB4C-48AD-A98F-D9A03736EB7A}" name="Value" dataDxfId="2">
      <calculatedColumnFormula>VALUE(I2)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an.singh@gmail.com" TargetMode="External"/><Relationship Id="rId2" Type="http://schemas.openxmlformats.org/officeDocument/2006/relationships/hyperlink" Target="mailto:rahul.sharma@gmail.com" TargetMode="External"/><Relationship Id="rId1" Type="http://schemas.openxmlformats.org/officeDocument/2006/relationships/hyperlink" Target="mailto:ujjwal.kumar@gmail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priya.verma@gmail.com" TargetMode="External"/><Relationship Id="rId4" Type="http://schemas.openxmlformats.org/officeDocument/2006/relationships/hyperlink" Target="mailto:neha.jos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1AD05-6A4D-4F3C-A596-E5CDBB021AC0}">
  <dimension ref="A1:AQ98"/>
  <sheetViews>
    <sheetView tabSelected="1" zoomScale="70" zoomScaleNormal="70" workbookViewId="0">
      <selection activeCell="B15" sqref="B15"/>
    </sheetView>
  </sheetViews>
  <sheetFormatPr defaultRowHeight="14.25" x14ac:dyDescent="0.2"/>
  <cols>
    <col min="1" max="1" width="14.375" bestFit="1" customWidth="1"/>
    <col min="2" max="2" width="12" customWidth="1"/>
    <col min="3" max="3" width="13.625" bestFit="1" customWidth="1"/>
    <col min="4" max="4" width="24.75" bestFit="1" customWidth="1"/>
    <col min="5" max="5" width="14" bestFit="1" customWidth="1"/>
    <col min="6" max="6" width="13.875" customWidth="1"/>
    <col min="7" max="7" width="16.375" bestFit="1" customWidth="1"/>
    <col min="8" max="8" width="14.375" customWidth="1"/>
    <col min="9" max="9" width="17.75" style="5" customWidth="1"/>
    <col min="10" max="10" width="10.125" style="5" customWidth="1"/>
    <col min="11" max="11" width="6.25" customWidth="1"/>
    <col min="12" max="12" width="7.5" customWidth="1"/>
    <col min="13" max="13" width="6" customWidth="1"/>
    <col min="14" max="14" width="9" customWidth="1"/>
    <col min="15" max="15" width="6.625" customWidth="1"/>
    <col min="16" max="16" width="9" customWidth="1"/>
    <col min="17" max="18" width="8.25" customWidth="1"/>
    <col min="19" max="22" width="13.625" bestFit="1" customWidth="1"/>
    <col min="23" max="23" width="14" customWidth="1"/>
    <col min="24" max="24" width="22.625" bestFit="1" customWidth="1"/>
    <col min="25" max="25" width="14" bestFit="1" customWidth="1"/>
    <col min="26" max="26" width="9.125" customWidth="1"/>
    <col min="27" max="27" width="8.25" bestFit="1" customWidth="1"/>
    <col min="28" max="28" width="7.625" customWidth="1"/>
  </cols>
  <sheetData>
    <row r="1" spans="1:43" s="7" customFormat="1" ht="1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39</v>
      </c>
      <c r="G1" s="8" t="s">
        <v>67</v>
      </c>
      <c r="H1" s="8" t="s">
        <v>58</v>
      </c>
      <c r="I1" s="9" t="s">
        <v>59</v>
      </c>
      <c r="J1" s="10" t="s">
        <v>66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  <c r="T1" s="8" t="s">
        <v>50</v>
      </c>
      <c r="U1" s="8" t="s">
        <v>51</v>
      </c>
      <c r="V1" s="8" t="s">
        <v>52</v>
      </c>
      <c r="W1" s="8" t="s">
        <v>53</v>
      </c>
      <c r="X1" s="8" t="s">
        <v>55</v>
      </c>
      <c r="Y1" s="8" t="s">
        <v>54</v>
      </c>
      <c r="Z1" s="8" t="s">
        <v>56</v>
      </c>
      <c r="AA1" s="8" t="s">
        <v>57</v>
      </c>
      <c r="AB1" s="8" t="s">
        <v>60</v>
      </c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spans="1:43" s="1" customFormat="1" x14ac:dyDescent="0.2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  <c r="F2" s="1" t="s">
        <v>40</v>
      </c>
      <c r="G2" s="1" t="s">
        <v>45</v>
      </c>
      <c r="H2" s="1">
        <v>25000</v>
      </c>
      <c r="I2" s="3">
        <v>25000</v>
      </c>
      <c r="J2" s="3" t="s">
        <v>61</v>
      </c>
      <c r="K2" s="1" t="str">
        <f>LEFT(E2,3)</f>
        <v>EMP</v>
      </c>
      <c r="L2" s="1" t="str">
        <f>RIGHT(E2,3)</f>
        <v>001</v>
      </c>
      <c r="M2" s="1" t="str">
        <f>MID(E2,5,4)</f>
        <v>2026</v>
      </c>
      <c r="N2" s="1">
        <f>LEN(C2)</f>
        <v>12</v>
      </c>
      <c r="O2" s="1">
        <f>FIND("@",D2)</f>
        <v>13</v>
      </c>
      <c r="P2" s="1">
        <f>SEARCH("@",D2)</f>
        <v>13</v>
      </c>
      <c r="Q2" s="1" t="str">
        <f>UPPER(A2)</f>
        <v>UJJWAL</v>
      </c>
      <c r="R2" s="1" t="str">
        <f>LOWER(A2)</f>
        <v>ujjwal</v>
      </c>
      <c r="S2" s="1" t="str">
        <f>PROPER(F2)</f>
        <v>Ujjwal Kumar</v>
      </c>
      <c r="T2" s="1" t="str">
        <f>TRIM(G2)</f>
        <v>Ujjwal Kumar</v>
      </c>
      <c r="U2" s="1" t="str">
        <f>_xlfn.CONCAT(A2," ", B2)</f>
        <v>Ujjwal Kumar</v>
      </c>
      <c r="V2" s="1" t="str">
        <f>_xlfn.TEXTJOIN(" ",TRUE,A2:B2)</f>
        <v>Ujjwal Kumar</v>
      </c>
      <c r="W2" s="1" t="str">
        <f>CONCATENATE(A2," ",B2)</f>
        <v>Ujjwal Kumar</v>
      </c>
      <c r="X2" s="1" t="str">
        <f>SUBSTITUTE(D2,".com",".in")</f>
        <v>ujjwal.kumar@gmail.in</v>
      </c>
      <c r="Y2" s="1" t="str">
        <f>REPLACE(E2,5,4,2027)</f>
        <v>EMP-2027-001</v>
      </c>
      <c r="Z2" s="1" t="str">
        <f>REPT(J2,5)</f>
        <v>*****</v>
      </c>
      <c r="AA2" s="1" t="str">
        <f>TEXT(H2,"₹#,##0")</f>
        <v>₹25,000</v>
      </c>
      <c r="AB2" s="1">
        <f>VALUE(I2)</f>
        <v>25000</v>
      </c>
    </row>
    <row r="3" spans="1:43" s="1" customFormat="1" x14ac:dyDescent="0.2">
      <c r="A3" s="1" t="s">
        <v>10</v>
      </c>
      <c r="B3" s="1" t="s">
        <v>11</v>
      </c>
      <c r="C3" s="1" t="s">
        <v>12</v>
      </c>
      <c r="D3" s="2" t="s">
        <v>13</v>
      </c>
      <c r="E3" s="1" t="s">
        <v>14</v>
      </c>
      <c r="F3" s="1" t="s">
        <v>41</v>
      </c>
      <c r="G3" s="1" t="s">
        <v>46</v>
      </c>
      <c r="H3" s="1">
        <v>18000</v>
      </c>
      <c r="I3" s="4">
        <v>18000</v>
      </c>
      <c r="J3" s="4" t="s">
        <v>62</v>
      </c>
      <c r="K3" s="1" t="str">
        <f>LEFT(E3,3)</f>
        <v>EMP</v>
      </c>
      <c r="L3" s="1" t="str">
        <f>RIGHT(E3,3)</f>
        <v>002</v>
      </c>
      <c r="M3" s="1" t="str">
        <f>MID(E3,5,4)</f>
        <v>2026</v>
      </c>
      <c r="N3" s="1">
        <f>LEN(C3)</f>
        <v>12</v>
      </c>
      <c r="O3" s="1">
        <f>FIND("@",D3)</f>
        <v>13</v>
      </c>
      <c r="P3" s="1">
        <f>SEARCH("@",D3)</f>
        <v>13</v>
      </c>
      <c r="Q3" s="1" t="str">
        <f>UPPER(A3)</f>
        <v>RAHUL</v>
      </c>
      <c r="R3" s="1" t="str">
        <f>LOWER(A3)</f>
        <v>rahul</v>
      </c>
      <c r="S3" s="1" t="str">
        <f>PROPER(F3)</f>
        <v>Rahul Sharma</v>
      </c>
      <c r="T3" s="1" t="str">
        <f>TRIM(G3)</f>
        <v>Rahul Sharma</v>
      </c>
      <c r="U3" s="1" t="str">
        <f>_xlfn.CONCAT(A3," ", B3)</f>
        <v>Rahul Sharma</v>
      </c>
      <c r="V3" s="1" t="str">
        <f>_xlfn.TEXTJOIN(" ",TRUE,A3:B3)</f>
        <v>Rahul Sharma</v>
      </c>
      <c r="W3" s="1" t="str">
        <f t="shared" ref="W3:W6" si="0">CONCATENATE(A3," ",B3)</f>
        <v>Rahul Sharma</v>
      </c>
      <c r="X3" s="1" t="str">
        <f>SUBSTITUTE(D3,".com",".in")</f>
        <v>rahul.sharma@gmail.in</v>
      </c>
      <c r="Y3" s="1" t="str">
        <f>REPLACE(E3,5,4,2027)</f>
        <v>EMP-2027-002</v>
      </c>
      <c r="Z3" s="1" t="str">
        <f>REPT(J3,4)</f>
        <v>$$$$</v>
      </c>
      <c r="AA3" s="1" t="str">
        <f t="shared" ref="AA3:AA6" si="1">TEXT(H3,"₹#,##0")</f>
        <v>₹18,000</v>
      </c>
      <c r="AB3" s="1">
        <f t="shared" ref="AB3:AB6" si="2">VALUE(I3)</f>
        <v>18000</v>
      </c>
    </row>
    <row r="4" spans="1:43" s="1" customFormat="1" x14ac:dyDescent="0.2">
      <c r="A4" s="1" t="s">
        <v>15</v>
      </c>
      <c r="B4" s="1" t="s">
        <v>16</v>
      </c>
      <c r="C4" s="1" t="s">
        <v>17</v>
      </c>
      <c r="D4" s="2" t="s">
        <v>18</v>
      </c>
      <c r="E4" s="1" t="s">
        <v>19</v>
      </c>
      <c r="F4" s="1" t="s">
        <v>42</v>
      </c>
      <c r="G4" s="1" t="s">
        <v>47</v>
      </c>
      <c r="H4" s="1">
        <v>30000</v>
      </c>
      <c r="I4" s="4">
        <v>30000</v>
      </c>
      <c r="J4" s="4" t="s">
        <v>63</v>
      </c>
      <c r="K4" s="1" t="str">
        <f>LEFT(E4,3)</f>
        <v>EMP</v>
      </c>
      <c r="L4" s="1" t="str">
        <f>RIGHT(E4,3)</f>
        <v>003</v>
      </c>
      <c r="M4" s="1" t="str">
        <f>MID(E4,5,4)</f>
        <v>2026</v>
      </c>
      <c r="N4" s="1">
        <f>LEN(C4)</f>
        <v>10</v>
      </c>
      <c r="O4" s="1">
        <f>FIND("@",D4)</f>
        <v>11</v>
      </c>
      <c r="P4" s="1">
        <f>SEARCH("@",D4)</f>
        <v>11</v>
      </c>
      <c r="Q4" s="1" t="str">
        <f>UPPER(A4)</f>
        <v>AMAN</v>
      </c>
      <c r="R4" s="1" t="str">
        <f>LOWER(A4)</f>
        <v>aman</v>
      </c>
      <c r="S4" s="1" t="str">
        <f>PROPER(F4)</f>
        <v>Aman Singh</v>
      </c>
      <c r="T4" s="1" t="str">
        <f>TRIM(G4)</f>
        <v>Aman Singh</v>
      </c>
      <c r="U4" s="1" t="str">
        <f>_xlfn.CONCAT(A4," ", B4)</f>
        <v>Aman Singh</v>
      </c>
      <c r="V4" s="1" t="str">
        <f>_xlfn.TEXTJOIN(" ",TRUE,A4:B4)</f>
        <v>Aman Singh</v>
      </c>
      <c r="W4" s="1" t="str">
        <f t="shared" si="0"/>
        <v>Aman Singh</v>
      </c>
      <c r="X4" s="1" t="str">
        <f>SUBSTITUTE(D4,".com",".in")</f>
        <v>aman.singh@gmail.in</v>
      </c>
      <c r="Y4" s="1" t="str">
        <f>REPLACE(E4,5,4,2027)</f>
        <v>EMP-2027-003</v>
      </c>
      <c r="Z4" s="1" t="str">
        <f>REPT(J4,4)</f>
        <v>&amp;&amp;&amp;&amp;</v>
      </c>
      <c r="AA4" s="1" t="str">
        <f t="shared" si="1"/>
        <v>₹30,000</v>
      </c>
      <c r="AB4" s="1">
        <f t="shared" si="2"/>
        <v>30000</v>
      </c>
    </row>
    <row r="5" spans="1:43" s="1" customFormat="1" x14ac:dyDescent="0.2">
      <c r="A5" s="1" t="s">
        <v>20</v>
      </c>
      <c r="B5" s="1" t="s">
        <v>21</v>
      </c>
      <c r="C5" s="1" t="s">
        <v>22</v>
      </c>
      <c r="D5" s="2" t="s">
        <v>23</v>
      </c>
      <c r="E5" s="1" t="s">
        <v>24</v>
      </c>
      <c r="F5" s="1" t="s">
        <v>43</v>
      </c>
      <c r="G5" s="1" t="s">
        <v>48</v>
      </c>
      <c r="H5" s="1">
        <v>22000</v>
      </c>
      <c r="I5" s="4">
        <v>22000</v>
      </c>
      <c r="J5" s="4" t="s">
        <v>64</v>
      </c>
      <c r="K5" s="1" t="str">
        <f>LEFT(E5,3)</f>
        <v>EMP</v>
      </c>
      <c r="L5" s="1" t="str">
        <f>RIGHT(E5,3)</f>
        <v>004</v>
      </c>
      <c r="M5" s="1" t="str">
        <f>MID(E5,5,4)</f>
        <v>2026</v>
      </c>
      <c r="N5" s="1">
        <f>LEN(C5)</f>
        <v>10</v>
      </c>
      <c r="O5" s="1">
        <f>FIND("@",D5)</f>
        <v>11</v>
      </c>
      <c r="P5" s="1">
        <f>SEARCH("@",D5)</f>
        <v>11</v>
      </c>
      <c r="Q5" s="1" t="str">
        <f>UPPER(A5)</f>
        <v>NEHA</v>
      </c>
      <c r="R5" s="1" t="str">
        <f>LOWER(A5)</f>
        <v>neha</v>
      </c>
      <c r="S5" s="1" t="str">
        <f>PROPER(F5)</f>
        <v>Neha Joshi</v>
      </c>
      <c r="T5" s="1" t="str">
        <f>TRIM(G5)</f>
        <v>Neha Joshi</v>
      </c>
      <c r="U5" s="1" t="str">
        <f>_xlfn.CONCAT(A5," ", B5)</f>
        <v>Neha Joshi</v>
      </c>
      <c r="V5" s="1" t="str">
        <f>_xlfn.TEXTJOIN(" ",TRUE,A5:B5)</f>
        <v>Neha Joshi</v>
      </c>
      <c r="W5" s="1" t="str">
        <f t="shared" si="0"/>
        <v>Neha Joshi</v>
      </c>
      <c r="X5" s="1" t="str">
        <f>SUBSTITUTE(D5,".com",".in")</f>
        <v>neha.joshi@gmail.in</v>
      </c>
      <c r="Y5" s="1" t="str">
        <f>REPLACE(E5,5,4,2027)</f>
        <v>EMP-2027-004</v>
      </c>
      <c r="Z5" s="1" t="str">
        <f>REPT(J5,6)</f>
        <v>((((((</v>
      </c>
      <c r="AA5" s="1" t="str">
        <f t="shared" si="1"/>
        <v>₹22,000</v>
      </c>
      <c r="AB5" s="1">
        <f t="shared" si="2"/>
        <v>22000</v>
      </c>
    </row>
    <row r="6" spans="1:43" s="1" customFormat="1" x14ac:dyDescent="0.2">
      <c r="A6" s="1" t="s">
        <v>25</v>
      </c>
      <c r="B6" s="1" t="s">
        <v>26</v>
      </c>
      <c r="C6" s="1" t="s">
        <v>27</v>
      </c>
      <c r="D6" s="2" t="s">
        <v>28</v>
      </c>
      <c r="E6" s="1" t="s">
        <v>29</v>
      </c>
      <c r="F6" s="1" t="s">
        <v>44</v>
      </c>
      <c r="G6" s="1" t="s">
        <v>49</v>
      </c>
      <c r="H6" s="1">
        <v>27000</v>
      </c>
      <c r="I6" s="4">
        <v>27000</v>
      </c>
      <c r="J6" s="4" t="s">
        <v>65</v>
      </c>
      <c r="K6" s="1" t="str">
        <f>LEFT(E6,3)</f>
        <v>EMP</v>
      </c>
      <c r="L6" s="1" t="str">
        <f>RIGHT(E6,3)</f>
        <v>005</v>
      </c>
      <c r="M6" s="1" t="str">
        <f>MID(E6,5,4)</f>
        <v>2026</v>
      </c>
      <c r="N6" s="1">
        <f>LEN(C6)</f>
        <v>11</v>
      </c>
      <c r="O6" s="1">
        <f>FIND("@",D6)</f>
        <v>12</v>
      </c>
      <c r="P6" s="1">
        <f>SEARCH("@",D6)</f>
        <v>12</v>
      </c>
      <c r="Q6" s="1" t="str">
        <f>UPPER(A6)</f>
        <v>PRIYA</v>
      </c>
      <c r="R6" s="1" t="str">
        <f>LOWER(A6)</f>
        <v>priya</v>
      </c>
      <c r="S6" s="1" t="str">
        <f>PROPER(F6)</f>
        <v>Priya Verma</v>
      </c>
      <c r="T6" s="1" t="str">
        <f>TRIM(G6)</f>
        <v>Priya Verma</v>
      </c>
      <c r="U6" s="1" t="str">
        <f>_xlfn.CONCAT(A6," ", B6)</f>
        <v>Priya Verma</v>
      </c>
      <c r="V6" s="1" t="str">
        <f>_xlfn.TEXTJOIN(" ",TRUE,A6:B6)</f>
        <v>Priya Verma</v>
      </c>
      <c r="W6" s="1" t="str">
        <f t="shared" si="0"/>
        <v>Priya Verma</v>
      </c>
      <c r="X6" s="1" t="str">
        <f>SUBSTITUTE(D6,".com",".in")</f>
        <v>priya.verma@gmail.in</v>
      </c>
      <c r="Y6" s="1" t="str">
        <f>REPLACE(E6,5,4,2027)</f>
        <v>EMP-2027-005</v>
      </c>
      <c r="Z6" s="1" t="str">
        <f>REPT(J6,4)</f>
        <v>))))</v>
      </c>
      <c r="AA6" s="1" t="str">
        <f t="shared" si="1"/>
        <v>₹27,000</v>
      </c>
      <c r="AB6" s="1">
        <f t="shared" si="2"/>
        <v>27000</v>
      </c>
    </row>
    <row r="7" spans="1:43" x14ac:dyDescent="0.2">
      <c r="A7" s="1"/>
      <c r="B7" s="1"/>
      <c r="C7" s="1"/>
      <c r="D7" s="1"/>
      <c r="E7" s="1"/>
      <c r="F7" s="1"/>
      <c r="G7" s="1"/>
      <c r="H7" s="1"/>
      <c r="I7" s="4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x14ac:dyDescent="0.2">
      <c r="A8" s="1"/>
      <c r="B8" s="1"/>
      <c r="C8" s="1"/>
      <c r="D8" s="1"/>
      <c r="E8" s="1"/>
      <c r="F8" s="1"/>
      <c r="G8" s="1"/>
      <c r="H8" s="1"/>
      <c r="I8" s="4"/>
      <c r="J8" s="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2">
      <c r="A9" s="1"/>
      <c r="B9" s="1"/>
      <c r="C9" s="1"/>
      <c r="D9" s="1"/>
      <c r="E9" s="1"/>
      <c r="F9" s="1"/>
      <c r="G9" s="1"/>
      <c r="H9" s="1"/>
      <c r="I9" s="4"/>
      <c r="J9" s="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2">
      <c r="A10" s="1"/>
      <c r="B10" s="1"/>
      <c r="C10" s="1"/>
      <c r="D10" s="1"/>
      <c r="E10" s="1"/>
      <c r="F10" s="1"/>
      <c r="G10" s="1"/>
      <c r="H10" s="1"/>
      <c r="I10" s="4"/>
      <c r="J10" s="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2">
      <c r="A11" s="1"/>
      <c r="B11" s="1"/>
      <c r="C11" s="1"/>
      <c r="D11" s="1"/>
      <c r="E11" s="1"/>
      <c r="F11" s="1"/>
      <c r="G11" s="1"/>
      <c r="H11" s="1"/>
      <c r="I11" s="4"/>
      <c r="J11" s="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2">
      <c r="A12" s="1"/>
      <c r="B12" s="1"/>
      <c r="C12" s="1"/>
      <c r="D12" s="1"/>
      <c r="E12" s="1"/>
      <c r="F12" s="1"/>
      <c r="G12" s="1"/>
      <c r="H12" s="1"/>
      <c r="I12" s="4"/>
      <c r="J12" s="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2">
      <c r="A13" s="1"/>
      <c r="B13" s="1"/>
      <c r="C13" s="1"/>
      <c r="D13" s="1"/>
      <c r="E13" s="1"/>
      <c r="F13" s="1"/>
      <c r="G13" s="1"/>
      <c r="H13" s="1"/>
      <c r="I13" s="4"/>
      <c r="J13" s="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2">
      <c r="A14" s="1"/>
      <c r="B14" s="1"/>
      <c r="C14" s="1"/>
      <c r="D14" s="1"/>
      <c r="E14" s="1"/>
      <c r="F14" s="1"/>
      <c r="G14" s="1"/>
      <c r="H14" s="1"/>
      <c r="I14" s="4"/>
      <c r="J14" s="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x14ac:dyDescent="0.2">
      <c r="A15" s="1"/>
      <c r="B15" s="1"/>
      <c r="C15" s="1"/>
      <c r="D15" s="1"/>
      <c r="E15" s="1"/>
      <c r="F15" s="1"/>
      <c r="G15" s="1"/>
      <c r="H15" s="1"/>
      <c r="I15" s="4"/>
      <c r="J15" s="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x14ac:dyDescent="0.2">
      <c r="A16" s="1"/>
      <c r="B16" s="1"/>
      <c r="C16" s="1"/>
      <c r="D16" s="1"/>
      <c r="E16" s="1"/>
      <c r="F16" s="1"/>
      <c r="G16" s="1"/>
      <c r="H16" s="1"/>
      <c r="I16" s="4"/>
      <c r="J16" s="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x14ac:dyDescent="0.2">
      <c r="A17" s="1"/>
      <c r="B17" s="1"/>
      <c r="C17" s="1"/>
      <c r="D17" s="1"/>
      <c r="E17" s="1"/>
      <c r="F17" s="1"/>
      <c r="G17" s="1"/>
      <c r="H17" s="1"/>
      <c r="I17" s="4"/>
      <c r="J17" s="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x14ac:dyDescent="0.2">
      <c r="A18" s="1"/>
      <c r="B18" s="1"/>
      <c r="C18" s="1"/>
      <c r="D18" s="1"/>
      <c r="E18" s="1"/>
      <c r="F18" s="1"/>
      <c r="G18" s="1"/>
      <c r="H18" s="1"/>
      <c r="I18" s="4"/>
      <c r="J18" s="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x14ac:dyDescent="0.2">
      <c r="A19" s="1"/>
      <c r="B19" s="1"/>
      <c r="C19" s="1"/>
      <c r="D19" s="1"/>
      <c r="E19" s="1"/>
      <c r="F19" s="1"/>
      <c r="G19" s="1"/>
      <c r="H19" s="1"/>
      <c r="I19" s="4"/>
      <c r="J19" s="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2">
      <c r="A20" s="1"/>
      <c r="B20" s="1"/>
      <c r="C20" s="1"/>
      <c r="D20" s="1"/>
      <c r="E20" s="1"/>
      <c r="F20" s="1"/>
      <c r="G20" s="1"/>
      <c r="H20" s="1"/>
      <c r="I20" s="4"/>
      <c r="J20" s="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x14ac:dyDescent="0.2">
      <c r="A21" s="1"/>
      <c r="B21" s="1"/>
      <c r="C21" s="1"/>
      <c r="D21" s="1"/>
      <c r="E21" s="1"/>
      <c r="F21" s="1"/>
      <c r="G21" s="1"/>
      <c r="H21" s="1"/>
      <c r="I21" s="4"/>
      <c r="J21" s="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">
      <c r="A22" s="1"/>
      <c r="B22" s="1"/>
      <c r="C22" s="1"/>
      <c r="D22" s="1"/>
      <c r="E22" s="1"/>
      <c r="F22" s="1"/>
      <c r="G22" s="1"/>
      <c r="H22" s="1"/>
      <c r="I22" s="4"/>
      <c r="J22" s="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">
      <c r="A23" s="1"/>
      <c r="B23" s="1"/>
      <c r="C23" s="1"/>
      <c r="D23" s="1"/>
      <c r="E23" s="1"/>
      <c r="F23" s="1"/>
      <c r="G23" s="1"/>
      <c r="H23" s="1"/>
      <c r="I23" s="4"/>
      <c r="J23" s="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">
      <c r="A24" s="1"/>
      <c r="B24" s="1"/>
      <c r="C24" s="1"/>
      <c r="D24" s="1"/>
      <c r="E24" s="1"/>
      <c r="F24" s="1"/>
      <c r="G24" s="1"/>
      <c r="H24" s="1"/>
      <c r="I24" s="4"/>
      <c r="J24" s="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2">
      <c r="A25" s="1"/>
      <c r="B25" s="1"/>
      <c r="C25" s="1"/>
      <c r="D25" s="1"/>
      <c r="E25" s="1"/>
      <c r="F25" s="1"/>
      <c r="G25" s="1"/>
      <c r="H25" s="1"/>
      <c r="I25" s="4"/>
      <c r="J25" s="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">
      <c r="A26" s="1"/>
      <c r="B26" s="1"/>
      <c r="C26" s="1"/>
      <c r="D26" s="1"/>
      <c r="E26" s="1"/>
      <c r="F26" s="1"/>
      <c r="G26" s="1"/>
      <c r="H26" s="1"/>
      <c r="I26" s="4"/>
      <c r="J26" s="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A27" s="1"/>
      <c r="B27" s="1"/>
      <c r="C27" s="1"/>
      <c r="D27" s="1"/>
      <c r="E27" s="1"/>
      <c r="F27" s="1"/>
      <c r="G27" s="1"/>
      <c r="H27" s="1"/>
      <c r="I27" s="4"/>
      <c r="J27" s="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">
      <c r="A28" s="1"/>
      <c r="B28" s="1"/>
      <c r="C28" s="1"/>
      <c r="D28" s="1"/>
      <c r="E28" s="1"/>
      <c r="F28" s="1"/>
      <c r="G28" s="1"/>
      <c r="H28" s="1"/>
      <c r="I28" s="4"/>
      <c r="J28" s="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x14ac:dyDescent="0.2">
      <c r="A29" s="1"/>
      <c r="B29" s="1"/>
      <c r="C29" s="1"/>
      <c r="D29" s="1"/>
      <c r="E29" s="1"/>
      <c r="F29" s="1"/>
      <c r="G29" s="1"/>
      <c r="H29" s="1"/>
      <c r="I29" s="4"/>
      <c r="J29" s="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x14ac:dyDescent="0.2">
      <c r="A30" s="1"/>
      <c r="B30" s="1"/>
      <c r="C30" s="1"/>
      <c r="D30" s="1"/>
      <c r="E30" s="1"/>
      <c r="F30" s="1"/>
      <c r="G30" s="1"/>
      <c r="H30" s="1"/>
      <c r="I30" s="4"/>
      <c r="J30" s="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x14ac:dyDescent="0.2">
      <c r="A31" s="1"/>
      <c r="B31" s="1"/>
      <c r="C31" s="1"/>
      <c r="D31" s="1"/>
      <c r="E31" s="1"/>
      <c r="F31" s="1"/>
      <c r="G31" s="1"/>
      <c r="H31" s="1"/>
      <c r="I31" s="4"/>
      <c r="J31" s="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x14ac:dyDescent="0.2">
      <c r="A32" s="1"/>
      <c r="B32" s="1"/>
      <c r="C32" s="1"/>
      <c r="D32" s="1"/>
      <c r="E32" s="1"/>
      <c r="F32" s="1"/>
      <c r="G32" s="1"/>
      <c r="H32" s="1"/>
      <c r="I32" s="4"/>
      <c r="J32" s="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2">
      <c r="A33" s="1"/>
      <c r="B33" s="1"/>
      <c r="C33" s="1"/>
      <c r="D33" s="1"/>
      <c r="E33" s="1"/>
      <c r="F33" s="1"/>
      <c r="G33" s="1"/>
      <c r="H33" s="1"/>
      <c r="I33" s="4"/>
      <c r="J33" s="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2">
      <c r="A34" s="1"/>
      <c r="B34" s="1"/>
      <c r="C34" s="1"/>
      <c r="D34" s="1"/>
      <c r="E34" s="1"/>
      <c r="F34" s="1"/>
      <c r="G34" s="1"/>
      <c r="H34" s="1"/>
      <c r="I34" s="4"/>
      <c r="J34" s="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2">
      <c r="A35" s="1"/>
      <c r="B35" s="1"/>
      <c r="C35" s="1"/>
      <c r="D35" s="1"/>
      <c r="E35" s="1"/>
      <c r="F35" s="1"/>
      <c r="G35" s="1"/>
      <c r="H35" s="1"/>
      <c r="I35" s="4"/>
      <c r="J35" s="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2">
      <c r="A36" s="1"/>
      <c r="B36" s="1"/>
      <c r="C36" s="1"/>
      <c r="D36" s="1"/>
      <c r="E36" s="1"/>
      <c r="F36" s="1"/>
      <c r="G36" s="1"/>
      <c r="H36" s="1"/>
      <c r="I36" s="4"/>
      <c r="J36" s="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2">
      <c r="A37" s="1"/>
      <c r="B37" s="1"/>
      <c r="C37" s="1"/>
      <c r="D37" s="1"/>
      <c r="E37" s="1"/>
      <c r="F37" s="1"/>
      <c r="G37" s="1"/>
      <c r="H37" s="1"/>
      <c r="I37" s="4"/>
      <c r="J37" s="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2">
      <c r="A38" s="1"/>
      <c r="B38" s="1"/>
      <c r="C38" s="1"/>
      <c r="D38" s="1"/>
      <c r="E38" s="1"/>
      <c r="F38" s="1"/>
      <c r="G38" s="1"/>
      <c r="H38" s="1"/>
      <c r="I38" s="4"/>
      <c r="J38" s="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x14ac:dyDescent="0.2">
      <c r="A39" s="1"/>
      <c r="B39" s="1"/>
      <c r="C39" s="1"/>
      <c r="D39" s="1"/>
      <c r="E39" s="1"/>
      <c r="F39" s="1"/>
      <c r="G39" s="1"/>
      <c r="H39" s="1"/>
      <c r="I39" s="4"/>
      <c r="J39" s="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2">
      <c r="A40" s="1"/>
      <c r="B40" s="1"/>
      <c r="C40" s="1"/>
      <c r="D40" s="1"/>
      <c r="E40" s="1"/>
      <c r="F40" s="1"/>
      <c r="G40" s="1"/>
      <c r="H40" s="1"/>
      <c r="I40" s="4"/>
      <c r="J40" s="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2">
      <c r="A41" s="1"/>
      <c r="B41" s="1"/>
      <c r="C41" s="1"/>
      <c r="D41" s="1"/>
      <c r="E41" s="1"/>
      <c r="F41" s="1"/>
      <c r="G41" s="1"/>
      <c r="H41" s="1"/>
      <c r="I41" s="4"/>
      <c r="J41" s="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2">
      <c r="A42" s="1"/>
      <c r="B42" s="1"/>
      <c r="C42" s="1"/>
      <c r="D42" s="1"/>
      <c r="E42" s="1"/>
      <c r="F42" s="1"/>
      <c r="G42" s="1"/>
      <c r="H42" s="1"/>
      <c r="I42" s="4"/>
      <c r="J42" s="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2">
      <c r="A43" s="1"/>
      <c r="B43" s="1"/>
      <c r="C43" s="1"/>
      <c r="D43" s="1"/>
      <c r="E43" s="1"/>
      <c r="F43" s="1"/>
      <c r="G43" s="1"/>
      <c r="H43" s="1"/>
      <c r="I43" s="4"/>
      <c r="J43" s="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2">
      <c r="A44" s="1"/>
      <c r="B44" s="1"/>
      <c r="C44" s="1"/>
      <c r="D44" s="1"/>
      <c r="E44" s="1"/>
      <c r="F44" s="1"/>
      <c r="G44" s="1"/>
      <c r="H44" s="1"/>
      <c r="I44" s="4"/>
      <c r="J44" s="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2">
      <c r="A45" s="1"/>
      <c r="B45" s="1"/>
      <c r="C45" s="1"/>
      <c r="D45" s="1"/>
      <c r="E45" s="1"/>
      <c r="F45" s="1"/>
      <c r="G45" s="1"/>
      <c r="H45" s="1"/>
      <c r="I45" s="4"/>
      <c r="J45" s="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x14ac:dyDescent="0.2">
      <c r="A46" s="1"/>
      <c r="B46" s="1"/>
      <c r="C46" s="1"/>
      <c r="D46" s="1"/>
      <c r="E46" s="1"/>
      <c r="F46" s="1"/>
      <c r="G46" s="1"/>
      <c r="H46" s="1"/>
      <c r="I46" s="4"/>
      <c r="J46" s="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2">
      <c r="A47" s="1"/>
      <c r="B47" s="1"/>
      <c r="C47" s="1"/>
      <c r="D47" s="1"/>
      <c r="E47" s="1"/>
      <c r="F47" s="1"/>
      <c r="G47" s="1"/>
      <c r="H47" s="1"/>
      <c r="I47" s="4"/>
      <c r="J47" s="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2">
      <c r="A48" s="1"/>
      <c r="B48" s="1"/>
      <c r="C48" s="1"/>
      <c r="D48" s="1"/>
      <c r="E48" s="1"/>
      <c r="F48" s="1"/>
      <c r="G48" s="1"/>
      <c r="H48" s="1"/>
      <c r="I48" s="4"/>
      <c r="J48" s="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2">
      <c r="A49" s="1"/>
      <c r="B49" s="1"/>
      <c r="C49" s="1"/>
      <c r="D49" s="1"/>
      <c r="E49" s="1"/>
      <c r="F49" s="1"/>
      <c r="G49" s="1"/>
      <c r="H49" s="1"/>
      <c r="I49" s="4"/>
      <c r="J49" s="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2">
      <c r="A50" s="1"/>
      <c r="B50" s="1"/>
      <c r="C50" s="1"/>
      <c r="D50" s="1"/>
      <c r="E50" s="1"/>
      <c r="F50" s="1"/>
      <c r="G50" s="1"/>
      <c r="H50" s="1"/>
      <c r="I50" s="4"/>
      <c r="J50" s="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2">
      <c r="A51" s="1"/>
      <c r="B51" s="1"/>
      <c r="C51" s="1"/>
      <c r="D51" s="1"/>
      <c r="E51" s="1"/>
      <c r="F51" s="1"/>
      <c r="G51" s="1"/>
      <c r="H51" s="1"/>
      <c r="I51" s="4"/>
      <c r="J51" s="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2">
      <c r="A52" s="1"/>
      <c r="B52" s="1"/>
      <c r="C52" s="1"/>
      <c r="D52" s="1"/>
      <c r="E52" s="1"/>
      <c r="F52" s="1"/>
      <c r="G52" s="1"/>
      <c r="H52" s="1"/>
      <c r="I52" s="4"/>
      <c r="J52" s="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2">
      <c r="A53" s="1"/>
      <c r="B53" s="1"/>
      <c r="C53" s="1"/>
      <c r="D53" s="1"/>
      <c r="E53" s="1"/>
      <c r="F53" s="1"/>
      <c r="G53" s="1"/>
      <c r="H53" s="1"/>
      <c r="I53" s="4"/>
      <c r="J53" s="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x14ac:dyDescent="0.2">
      <c r="A54" s="1"/>
      <c r="B54" s="1"/>
      <c r="C54" s="1"/>
      <c r="D54" s="1"/>
      <c r="E54" s="1"/>
      <c r="F54" s="1"/>
      <c r="G54" s="1"/>
      <c r="H54" s="1"/>
      <c r="I54" s="4"/>
      <c r="J54" s="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x14ac:dyDescent="0.2">
      <c r="A55" s="1"/>
      <c r="B55" s="1"/>
      <c r="C55" s="1"/>
      <c r="D55" s="1"/>
      <c r="E55" s="1"/>
      <c r="F55" s="1"/>
      <c r="G55" s="1"/>
      <c r="H55" s="1"/>
      <c r="I55" s="4"/>
      <c r="J55" s="4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2">
      <c r="A56" s="1"/>
      <c r="B56" s="1"/>
      <c r="C56" s="1"/>
      <c r="D56" s="1"/>
      <c r="E56" s="1"/>
      <c r="F56" s="1"/>
      <c r="G56" s="1"/>
      <c r="H56" s="1"/>
      <c r="I56" s="4"/>
      <c r="J56" s="4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x14ac:dyDescent="0.2">
      <c r="A57" s="1"/>
      <c r="B57" s="1"/>
      <c r="C57" s="1"/>
      <c r="D57" s="1"/>
      <c r="E57" s="1"/>
      <c r="F57" s="1"/>
      <c r="G57" s="1"/>
      <c r="H57" s="1"/>
      <c r="I57" s="4"/>
      <c r="J57" s="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2">
      <c r="A58" s="1"/>
      <c r="B58" s="1"/>
      <c r="C58" s="1"/>
      <c r="D58" s="1"/>
      <c r="E58" s="1"/>
      <c r="F58" s="1"/>
      <c r="G58" s="1"/>
      <c r="H58" s="1"/>
      <c r="I58" s="4"/>
      <c r="J58" s="4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x14ac:dyDescent="0.2">
      <c r="A59" s="1"/>
      <c r="B59" s="1"/>
      <c r="C59" s="1"/>
      <c r="D59" s="1"/>
      <c r="E59" s="1"/>
      <c r="F59" s="1"/>
      <c r="G59" s="1"/>
      <c r="H59" s="1"/>
      <c r="I59" s="4"/>
      <c r="J59" s="4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2">
      <c r="A60" s="1"/>
      <c r="B60" s="1"/>
      <c r="C60" s="1"/>
      <c r="D60" s="1"/>
      <c r="E60" s="1"/>
      <c r="F60" s="1"/>
      <c r="G60" s="1"/>
      <c r="H60" s="1"/>
      <c r="I60" s="4"/>
      <c r="J60" s="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x14ac:dyDescent="0.2">
      <c r="A61" s="1"/>
      <c r="B61" s="1"/>
      <c r="C61" s="1"/>
      <c r="D61" s="1"/>
      <c r="E61" s="1"/>
      <c r="F61" s="1"/>
      <c r="G61" s="1"/>
      <c r="H61" s="1"/>
      <c r="I61" s="4"/>
      <c r="J61" s="4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x14ac:dyDescent="0.2">
      <c r="A62" s="1"/>
      <c r="B62" s="1"/>
      <c r="C62" s="1"/>
      <c r="D62" s="1"/>
      <c r="E62" s="1"/>
      <c r="F62" s="1"/>
      <c r="G62" s="1"/>
      <c r="H62" s="1"/>
      <c r="I62" s="4"/>
      <c r="J62" s="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x14ac:dyDescent="0.2">
      <c r="A63" s="1"/>
      <c r="B63" s="1"/>
      <c r="C63" s="1"/>
      <c r="D63" s="1"/>
      <c r="E63" s="1"/>
      <c r="F63" s="1"/>
      <c r="G63" s="1"/>
      <c r="H63" s="1"/>
      <c r="I63" s="4"/>
      <c r="J63" s="4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x14ac:dyDescent="0.2">
      <c r="A64" s="1"/>
      <c r="B64" s="1"/>
      <c r="C64" s="1"/>
      <c r="D64" s="1"/>
      <c r="E64" s="1"/>
      <c r="F64" s="1"/>
      <c r="G64" s="1"/>
      <c r="H64" s="1"/>
      <c r="I64" s="4"/>
      <c r="J64" s="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x14ac:dyDescent="0.2">
      <c r="A65" s="1"/>
      <c r="B65" s="1"/>
      <c r="C65" s="1"/>
      <c r="D65" s="1"/>
      <c r="E65" s="1"/>
      <c r="F65" s="1"/>
      <c r="G65" s="1"/>
      <c r="H65" s="1"/>
      <c r="I65" s="4"/>
      <c r="J65" s="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x14ac:dyDescent="0.2">
      <c r="A66" s="1"/>
      <c r="B66" s="1"/>
      <c r="C66" s="1"/>
      <c r="D66" s="1"/>
      <c r="E66" s="1"/>
      <c r="F66" s="1"/>
      <c r="G66" s="1"/>
      <c r="H66" s="1"/>
      <c r="I66" s="4"/>
      <c r="J66" s="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x14ac:dyDescent="0.2">
      <c r="A67" s="1"/>
      <c r="B67" s="1"/>
      <c r="C67" s="1"/>
      <c r="D67" s="1"/>
      <c r="E67" s="1"/>
      <c r="F67" s="1"/>
      <c r="G67" s="1"/>
      <c r="H67" s="1"/>
      <c r="I67" s="4"/>
      <c r="J67" s="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x14ac:dyDescent="0.2">
      <c r="A68" s="1"/>
      <c r="B68" s="1"/>
      <c r="C68" s="1"/>
      <c r="D68" s="1"/>
      <c r="E68" s="1"/>
      <c r="F68" s="1"/>
      <c r="G68" s="1"/>
      <c r="H68" s="1"/>
      <c r="I68" s="4"/>
      <c r="J68" s="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x14ac:dyDescent="0.2">
      <c r="A69" s="1"/>
      <c r="B69" s="1"/>
      <c r="C69" s="1"/>
      <c r="D69" s="1"/>
      <c r="E69" s="1"/>
      <c r="F69" s="1"/>
      <c r="G69" s="1"/>
      <c r="H69" s="1"/>
      <c r="I69" s="4"/>
      <c r="J69" s="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x14ac:dyDescent="0.2">
      <c r="A70" s="1"/>
      <c r="B70" s="1"/>
      <c r="C70" s="1"/>
      <c r="D70" s="1"/>
      <c r="E70" s="1"/>
      <c r="F70" s="1"/>
      <c r="G70" s="1"/>
      <c r="H70" s="1"/>
      <c r="I70" s="4"/>
      <c r="J70" s="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x14ac:dyDescent="0.2">
      <c r="A71" s="1"/>
      <c r="B71" s="1"/>
      <c r="C71" s="1"/>
      <c r="D71" s="1"/>
      <c r="E71" s="1"/>
      <c r="F71" s="1"/>
      <c r="G71" s="1"/>
      <c r="H71" s="1"/>
      <c r="I71" s="4"/>
      <c r="J71" s="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x14ac:dyDescent="0.2">
      <c r="A72" s="1"/>
      <c r="B72" s="1"/>
      <c r="C72" s="1"/>
      <c r="D72" s="1"/>
      <c r="E72" s="1"/>
      <c r="F72" s="1"/>
      <c r="G72" s="1"/>
      <c r="H72" s="1"/>
      <c r="I72" s="4"/>
      <c r="J72" s="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x14ac:dyDescent="0.2">
      <c r="A73" s="1"/>
      <c r="B73" s="1"/>
      <c r="C73" s="1"/>
      <c r="D73" s="1"/>
      <c r="E73" s="1"/>
      <c r="F73" s="1"/>
      <c r="G73" s="1"/>
      <c r="H73" s="1"/>
      <c r="I73" s="4"/>
      <c r="J73" s="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x14ac:dyDescent="0.2">
      <c r="A74" s="1"/>
      <c r="B74" s="1"/>
      <c r="C74" s="1"/>
      <c r="D74" s="1"/>
      <c r="E74" s="1"/>
      <c r="F74" s="1"/>
      <c r="G74" s="1"/>
      <c r="H74" s="1"/>
      <c r="I74" s="4"/>
      <c r="J74" s="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x14ac:dyDescent="0.2">
      <c r="A75" s="1"/>
      <c r="B75" s="1"/>
      <c r="C75" s="1"/>
      <c r="D75" s="1"/>
      <c r="E75" s="1"/>
      <c r="F75" s="1"/>
      <c r="G75" s="1"/>
      <c r="H75" s="1"/>
      <c r="I75" s="4"/>
      <c r="J75" s="4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x14ac:dyDescent="0.2">
      <c r="A76" s="1"/>
      <c r="B76" s="1"/>
      <c r="C76" s="1"/>
      <c r="D76" s="1"/>
      <c r="E76" s="1"/>
      <c r="F76" s="1"/>
      <c r="G76" s="1"/>
      <c r="H76" s="1"/>
      <c r="I76" s="4"/>
      <c r="J76" s="4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x14ac:dyDescent="0.2">
      <c r="A77" s="1"/>
      <c r="B77" s="1"/>
      <c r="C77" s="1"/>
      <c r="D77" s="1"/>
      <c r="E77" s="1"/>
      <c r="F77" s="1"/>
      <c r="G77" s="1"/>
      <c r="H77" s="1"/>
      <c r="I77" s="4"/>
      <c r="J77" s="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x14ac:dyDescent="0.2">
      <c r="A78" s="1"/>
      <c r="B78" s="1"/>
      <c r="C78" s="1"/>
      <c r="D78" s="1"/>
      <c r="E78" s="1"/>
      <c r="F78" s="1"/>
      <c r="G78" s="1"/>
      <c r="H78" s="1"/>
      <c r="I78" s="4"/>
      <c r="J78" s="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x14ac:dyDescent="0.2">
      <c r="A79" s="1"/>
      <c r="B79" s="1"/>
      <c r="C79" s="1"/>
      <c r="D79" s="1"/>
      <c r="E79" s="1"/>
      <c r="F79" s="1"/>
      <c r="G79" s="1"/>
      <c r="H79" s="1"/>
      <c r="I79" s="4"/>
      <c r="J79" s="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x14ac:dyDescent="0.2">
      <c r="A80" s="1"/>
      <c r="B80" s="1"/>
      <c r="C80" s="1"/>
      <c r="D80" s="1"/>
      <c r="E80" s="1"/>
      <c r="F80" s="1"/>
      <c r="G80" s="1"/>
      <c r="H80" s="1"/>
      <c r="I80" s="4"/>
      <c r="J80" s="4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x14ac:dyDescent="0.2">
      <c r="A81" s="1"/>
      <c r="B81" s="1"/>
      <c r="C81" s="1"/>
      <c r="D81" s="1"/>
      <c r="E81" s="1"/>
      <c r="F81" s="1"/>
      <c r="G81" s="1"/>
      <c r="H81" s="1"/>
      <c r="I81" s="4"/>
      <c r="J81" s="4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x14ac:dyDescent="0.2">
      <c r="A82" s="1"/>
      <c r="B82" s="1"/>
      <c r="C82" s="1"/>
      <c r="D82" s="1"/>
      <c r="E82" s="1"/>
      <c r="F82" s="1"/>
      <c r="G82" s="1"/>
      <c r="H82" s="1"/>
      <c r="I82" s="4"/>
      <c r="J82" s="4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x14ac:dyDescent="0.2">
      <c r="A83" s="1"/>
      <c r="B83" s="1"/>
      <c r="C83" s="1"/>
      <c r="D83" s="1"/>
      <c r="E83" s="1"/>
      <c r="F83" s="1"/>
      <c r="G83" s="1"/>
      <c r="H83" s="1"/>
      <c r="I83" s="4"/>
      <c r="J83" s="4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x14ac:dyDescent="0.2">
      <c r="A84" s="1"/>
      <c r="B84" s="1"/>
      <c r="C84" s="1"/>
      <c r="D84" s="1"/>
      <c r="E84" s="1"/>
      <c r="F84" s="1"/>
      <c r="G84" s="1"/>
      <c r="H84" s="1"/>
      <c r="I84" s="4"/>
      <c r="J84" s="4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x14ac:dyDescent="0.2">
      <c r="A85" s="1"/>
      <c r="B85" s="1"/>
      <c r="C85" s="1"/>
      <c r="D85" s="1"/>
      <c r="E85" s="1"/>
      <c r="F85" s="1"/>
      <c r="G85" s="1"/>
      <c r="H85" s="1"/>
      <c r="I85" s="4"/>
      <c r="J85" s="4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x14ac:dyDescent="0.2">
      <c r="A86" s="1"/>
      <c r="B86" s="1"/>
      <c r="C86" s="1"/>
      <c r="D86" s="1"/>
      <c r="E86" s="1"/>
      <c r="F86" s="1"/>
      <c r="G86" s="1"/>
      <c r="H86" s="1"/>
      <c r="I86" s="4"/>
      <c r="J86" s="4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x14ac:dyDescent="0.2">
      <c r="A87" s="1"/>
      <c r="B87" s="1"/>
      <c r="C87" s="1"/>
      <c r="D87" s="1"/>
      <c r="E87" s="1"/>
      <c r="F87" s="1"/>
      <c r="G87" s="1"/>
      <c r="H87" s="1"/>
      <c r="I87" s="4"/>
      <c r="J87" s="4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x14ac:dyDescent="0.2">
      <c r="A88" s="1"/>
      <c r="B88" s="1"/>
      <c r="C88" s="1"/>
      <c r="D88" s="1"/>
      <c r="E88" s="1"/>
      <c r="F88" s="1"/>
      <c r="G88" s="1"/>
      <c r="H88" s="1"/>
      <c r="I88" s="4"/>
      <c r="J88" s="4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x14ac:dyDescent="0.2">
      <c r="A89" s="1"/>
      <c r="B89" s="1"/>
      <c r="C89" s="1"/>
      <c r="D89" s="1"/>
      <c r="E89" s="1"/>
      <c r="F89" s="1"/>
      <c r="G89" s="1"/>
      <c r="H89" s="1"/>
      <c r="I89" s="4"/>
      <c r="J89" s="4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x14ac:dyDescent="0.2">
      <c r="A90" s="1"/>
      <c r="B90" s="1"/>
      <c r="C90" s="1"/>
      <c r="D90" s="1"/>
      <c r="E90" s="1"/>
      <c r="F90" s="1"/>
      <c r="G90" s="1"/>
      <c r="H90" s="1"/>
      <c r="I90" s="4"/>
      <c r="J90" s="4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x14ac:dyDescent="0.2">
      <c r="A91" s="1"/>
      <c r="B91" s="1"/>
      <c r="C91" s="1"/>
      <c r="D91" s="1"/>
      <c r="E91" s="1"/>
      <c r="F91" s="1"/>
      <c r="G91" s="1"/>
      <c r="H91" s="1"/>
      <c r="I91" s="4"/>
      <c r="J91" s="4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x14ac:dyDescent="0.2">
      <c r="A92" s="1"/>
      <c r="B92" s="1"/>
      <c r="C92" s="1"/>
      <c r="D92" s="1"/>
      <c r="E92" s="1"/>
      <c r="F92" s="1"/>
      <c r="G92" s="1"/>
      <c r="H92" s="1"/>
      <c r="I92" s="4"/>
      <c r="J92" s="4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x14ac:dyDescent="0.2">
      <c r="A93" s="1"/>
      <c r="B93" s="1"/>
      <c r="C93" s="1"/>
      <c r="D93" s="1"/>
      <c r="E93" s="1"/>
      <c r="F93" s="1"/>
      <c r="G93" s="1"/>
      <c r="H93" s="1"/>
      <c r="I93" s="4"/>
      <c r="J93" s="4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x14ac:dyDescent="0.2">
      <c r="A94" s="1"/>
      <c r="B94" s="1"/>
      <c r="C94" s="1"/>
      <c r="D94" s="1"/>
      <c r="E94" s="1"/>
      <c r="F94" s="1"/>
      <c r="G94" s="1"/>
      <c r="H94" s="1"/>
      <c r="I94" s="4"/>
      <c r="J94" s="4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x14ac:dyDescent="0.2">
      <c r="A95" s="1"/>
      <c r="B95" s="1"/>
      <c r="C95" s="1"/>
      <c r="D95" s="1"/>
      <c r="E95" s="1"/>
      <c r="F95" s="1"/>
      <c r="G95" s="1"/>
      <c r="H95" s="1"/>
      <c r="I95" s="4"/>
      <c r="J95" s="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x14ac:dyDescent="0.2">
      <c r="A96" s="1"/>
      <c r="B96" s="1"/>
      <c r="C96" s="1"/>
      <c r="D96" s="1"/>
      <c r="E96" s="1"/>
      <c r="F96" s="1"/>
      <c r="G96" s="1"/>
      <c r="H96" s="1"/>
      <c r="I96" s="4"/>
      <c r="J96" s="4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x14ac:dyDescent="0.2">
      <c r="A97" s="1"/>
      <c r="B97" s="1"/>
      <c r="C97" s="1"/>
      <c r="D97" s="1"/>
      <c r="E97" s="1"/>
      <c r="F97" s="1"/>
      <c r="G97" s="1"/>
      <c r="H97" s="1"/>
      <c r="I97" s="4"/>
      <c r="J97" s="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x14ac:dyDescent="0.2">
      <c r="A98" s="1"/>
      <c r="B98" s="1"/>
      <c r="C98" s="1"/>
      <c r="D98" s="1"/>
      <c r="E98" s="1"/>
      <c r="F98" s="1"/>
      <c r="G98" s="1"/>
      <c r="H98" s="1"/>
      <c r="I98" s="4"/>
      <c r="J98" s="4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</sheetData>
  <hyperlinks>
    <hyperlink ref="D2" r:id="rId1" display="mailto:ujjwal.kumar@gmail.com" xr:uid="{C7FB9DC6-8FDA-4B9E-BDA4-D17D21939E12}"/>
    <hyperlink ref="D3" r:id="rId2" display="mailto:rahul.sharma@gmail.com" xr:uid="{A91ABB4B-C324-4AFD-A9F1-D9DD80BA8AD8}"/>
    <hyperlink ref="D4" r:id="rId3" display="mailto:aman.singh@gmail.com" xr:uid="{9706E6BD-B42A-4ECE-8D01-DA14B6A3D84F}"/>
    <hyperlink ref="D5" r:id="rId4" display="mailto:neha.joshi@gmail.com" xr:uid="{F034FD06-C6F2-45BD-A78D-3EEEDA50B9E4}"/>
    <hyperlink ref="D6" r:id="rId5" display="mailto:priya.verma@gmail.com" xr:uid="{1333417B-B4E3-46CF-A82B-FA3D1F360CE8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Kumar</dc:creator>
  <cp:lastModifiedBy>Ujjwal Kumar</cp:lastModifiedBy>
  <dcterms:created xsi:type="dcterms:W3CDTF">2026-08-26T04:36:06Z</dcterms:created>
  <dcterms:modified xsi:type="dcterms:W3CDTF">2026-09-01T04:07:08Z</dcterms:modified>
</cp:coreProperties>
</file>