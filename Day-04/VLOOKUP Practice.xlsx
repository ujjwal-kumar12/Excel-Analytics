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4\"/>
    </mc:Choice>
  </mc:AlternateContent>
  <xr:revisionPtr revIDLastSave="0" documentId="13_ncr:1_{623FE448-C55C-4227-8DFE-0DA2144EC59F}" xr6:coauthVersionLast="47" xr6:coauthVersionMax="47" xr10:uidLastSave="{00000000-0000-0000-0000-000000000000}"/>
  <bookViews>
    <workbookView xWindow="2640" yWindow="2640" windowWidth="21600" windowHeight="11835" activeTab="3" xr2:uid="{95642C43-DF1B-45B1-B6EE-10A4D31B3572}"/>
  </bookViews>
  <sheets>
    <sheet name="Basic VLOOKUP" sheetId="1" r:id="rId1"/>
    <sheet name="Product VLOOKUP" sheetId="2" r:id="rId2"/>
    <sheet name="Approximate VLOOKUP" sheetId="3" r:id="rId3"/>
    <sheet name="Employee 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4" l="1"/>
  <c r="J4" i="4"/>
  <c r="J5" i="4"/>
  <c r="J2" i="4"/>
  <c r="I3" i="4"/>
  <c r="I4" i="4"/>
  <c r="I5" i="4"/>
  <c r="I2" i="4"/>
  <c r="H3" i="4"/>
  <c r="H4" i="4"/>
  <c r="H5" i="4"/>
  <c r="H2" i="4"/>
  <c r="F4" i="3"/>
  <c r="F5" i="3"/>
  <c r="F3" i="3"/>
  <c r="F2" i="3"/>
  <c r="G7" i="2"/>
  <c r="G8" i="2"/>
  <c r="G6" i="2"/>
  <c r="I4" i="2"/>
  <c r="I3" i="2"/>
  <c r="I2" i="2"/>
  <c r="H3" i="2"/>
  <c r="H4" i="2"/>
  <c r="H2" i="2"/>
  <c r="G3" i="2"/>
  <c r="G4" i="2"/>
  <c r="G2" i="2"/>
  <c r="J3" i="1"/>
  <c r="J4" i="1"/>
  <c r="J5" i="1"/>
  <c r="J2" i="1"/>
  <c r="I3" i="1"/>
  <c r="I4" i="1"/>
  <c r="I2" i="1"/>
  <c r="H3" i="1"/>
  <c r="H4" i="1"/>
  <c r="H2" i="1"/>
  <c r="G3" i="1"/>
  <c r="G4" i="1"/>
  <c r="G2" i="1"/>
</calcChain>
</file>

<file path=xl/sharedStrings.xml><?xml version="1.0" encoding="utf-8"?>
<sst xmlns="http://schemas.openxmlformats.org/spreadsheetml/2006/main" count="108" uniqueCount="59">
  <si>
    <t>Employee ID</t>
  </si>
  <si>
    <t>Employee Name</t>
  </si>
  <si>
    <t>Department</t>
  </si>
  <si>
    <t>Salary</t>
  </si>
  <si>
    <t>E001</t>
  </si>
  <si>
    <t>Rahul</t>
  </si>
  <si>
    <t>IT</t>
  </si>
  <si>
    <t>E002</t>
  </si>
  <si>
    <t>Priya</t>
  </si>
  <si>
    <t>HR</t>
  </si>
  <si>
    <t>E003</t>
  </si>
  <si>
    <t>Aman</t>
  </si>
  <si>
    <t>Finance</t>
  </si>
  <si>
    <t>E004</t>
  </si>
  <si>
    <t>Neha</t>
  </si>
  <si>
    <t>Marketing</t>
  </si>
  <si>
    <t>E005</t>
  </si>
  <si>
    <t>Rohit</t>
  </si>
  <si>
    <t>Sales</t>
  </si>
  <si>
    <t>Search Employee ID</t>
  </si>
  <si>
    <t>Result</t>
  </si>
  <si>
    <t>E010</t>
  </si>
  <si>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</si>
  <si>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</si>
  <si>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</si>
  <si>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</si>
  <si>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</si>
  <si>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</si>
  <si>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</si>
  <si>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</si>
  <si>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Mouse</t>
  </si>
  <si>
    <t>Accessories</t>
  </si>
  <si>
    <t>P003</t>
  </si>
  <si>
    <t>Keyboard</t>
  </si>
  <si>
    <t>P004</t>
  </si>
  <si>
    <t>Monitor</t>
  </si>
  <si>
    <t>P005</t>
  </si>
  <si>
    <t>Headphones</t>
  </si>
  <si>
    <t>Search Product ID</t>
  </si>
  <si>
    <t>P010</t>
  </si>
  <si>
    <t>Minimum Score</t>
  </si>
  <si>
    <t>Grade</t>
  </si>
  <si>
    <t>F</t>
  </si>
  <si>
    <t>D</t>
  </si>
  <si>
    <t>C</t>
  </si>
  <si>
    <t>B</t>
  </si>
  <si>
    <t>A</t>
  </si>
  <si>
    <t>Student</t>
  </si>
  <si>
    <t>Score</t>
  </si>
  <si>
    <t>Name</t>
  </si>
  <si>
    <t>City</t>
  </si>
  <si>
    <t>Delhi</t>
  </si>
  <si>
    <t>Jaipur</t>
  </si>
  <si>
    <t>Mumbai</t>
  </si>
  <si>
    <t>Pune</t>
  </si>
  <si>
    <t>E006</t>
  </si>
  <si>
    <t>Ankit</t>
  </si>
  <si>
    <t>Noida</t>
  </si>
  <si>
    <t>Search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</si>
</sst>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092A-6B4B-4D3A-88D5-91A8A0A3C1F3}">
  <dimension ref="A1:J6"/>
  <sheetViews>
    <sheetView zoomScaleNormal="100" workbookViewId="0">
      <selection activeCell="K1" sqref="K1"/>
    </sheetView>
  </sheetViews>
  <sheetFormatPr defaultRowHeight="15" x14ac:dyDescent="0.25"/>
  <cols>
    <col min="1" max="1" width="13.28515625" style="2" bestFit="1" customWidth="1"/>
    <col min="2" max="2" width="17" style="2" bestFit="1" customWidth="1"/>
    <col min="3" max="3" width="12.85546875" style="2" bestFit="1" customWidth="1"/>
    <col min="4" max="4" width="7" style="2" bestFit="1" customWidth="1"/>
    <col min="5" max="5" width="9.140625" style="2"/>
    <col min="6" max="6" width="20.5703125" style="2" bestFit="1" customWidth="1"/>
    <col min="7" max="7" width="7" style="2" bestFit="1" customWidth="1"/>
    <col min="8" max="8" width="11.7109375" style="2" bestFit="1" customWidth="1"/>
    <col min="9" max="9" width="6.28515625" style="2" bestFit="1" customWidth="1"/>
    <col min="10" max="10" width="15.7109375" style="2" bestFit="1" customWidth="1"/>
    <col min="11" max="16384" width="9.140625" style="2"/>
  </cols>
  <sheetData>
    <row r="1" spans="1:10" s="4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  <c r="F1" s="4" t="s">
        <v>19</v>
      </c>
      <c r="G1" s="4" t="s">
        <v>20</v>
      </c>
      <c r="H1" s="3" t="s">
        <v>2</v>
      </c>
      <c r="I1" s="3" t="s">
        <v>3</v>
      </c>
      <c r="J1" s="5" t="s">
        <v>1</v>
      </c>
    </row>
    <row r="2" spans="1:10" x14ac:dyDescent="0.25">
      <c r="A2" s="2" t="s">
        <v>4</v>
      </c>
      <c r="B2" s="2" t="s">
        <v>5</v>
      </c>
      <c r="C2" s="2" t="s">
        <v>6</v>
      </c>
      <c r="D2" s="2">
        <v>35000</v>
      </c>
      <c r="F2" s="2" t="s">
        <v>10</v>
      </c>
      <c r="G2" s="2" t="str">
        <f>VLOOKUP(F2,A1:D6,2,FALSE)</f>
        <v>Aman</v>
      </c>
      <c r="H2" s="1" t="str">
        <f>VLOOKUP(F2,A1:D6,3,FALSE)</f>
        <v>Finance</v>
      </c>
      <c r="I2" s="1">
        <f>VLOOKUP(F2,A1:D6,4,FALSE)</f>
        <v>60000</v>
      </c>
      <c r="J2" s="2" t="str">
        <f>IFERROR(VLOOKUP(F2,A1:D6,2,FALSE),"Not Found")</f>
        <v>Aman</v>
      </c>
    </row>
    <row r="3" spans="1:10" x14ac:dyDescent="0.25">
      <c r="A3" s="2" t="s">
        <v>7</v>
      </c>
      <c r="B3" s="2" t="s">
        <v>8</v>
      </c>
      <c r="C3" s="2" t="s">
        <v>9</v>
      </c>
      <c r="D3" s="2">
        <v>45000</v>
      </c>
      <c r="F3" s="2" t="s">
        <v>4</v>
      </c>
      <c r="G3" s="2" t="str">
        <f t="shared" ref="G3:G4" si="0">VLOOKUP(F3,A2:D7,2,FALSE)</f>
        <v>Rahul</v>
      </c>
      <c r="H3" s="1" t="str">
        <f>VLOOKUP(F3,A2:D7,3,FALSE)</f>
        <v>IT</v>
      </c>
      <c r="I3" s="1">
        <f>VLOOKUP(F3,A2:D7,4,FALSE)</f>
        <v>35000</v>
      </c>
      <c r="J3" s="2" t="str">
        <f t="shared" ref="J3:J5" si="1">IFERROR(VLOOKUP(F3,A2:D7,2,FALSE),"Not Found")</f>
        <v>Rahul</v>
      </c>
    </row>
    <row r="4" spans="1:10" x14ac:dyDescent="0.25">
      <c r="A4" s="2" t="s">
        <v>10</v>
      </c>
      <c r="B4" s="2" t="s">
        <v>11</v>
      </c>
      <c r="C4" s="2" t="s">
        <v>12</v>
      </c>
      <c r="D4" s="2">
        <v>60000</v>
      </c>
      <c r="F4" s="2" t="s">
        <v>16</v>
      </c>
      <c r="G4" s="2" t="str">
        <f t="shared" si="0"/>
        <v>Rohit</v>
      </c>
      <c r="H4" s="1" t="str">
        <f>VLOOKUP(F4,A3:D8,3,FALSE)</f>
        <v>Sales</v>
      </c>
      <c r="I4" s="1">
        <f>VLOOKUP(F4,A3:D8,4,FALSE)</f>
        <v>55000</v>
      </c>
      <c r="J4" s="2" t="str">
        <f t="shared" si="1"/>
        <v>Rohit</v>
      </c>
    </row>
    <row r="5" spans="1:10" x14ac:dyDescent="0.25">
      <c r="A5" s="2" t="s">
        <v>13</v>
      </c>
      <c r="B5" s="2" t="s">
        <v>14</v>
      </c>
      <c r="C5" s="2" t="s">
        <v>15</v>
      </c>
      <c r="D5" s="2">
        <v>40000</v>
      </c>
      <c r="F5" s="2" t="s">
        <v>21</v>
      </c>
      <c r="J5" s="2" t="str">
        <f t="shared" si="1"/>
        <v>Not Found</v>
      </c>
    </row>
    <row r="6" spans="1:10" x14ac:dyDescent="0.25">
      <c r="A6" s="2" t="s">
        <v>16</v>
      </c>
      <c r="B6" s="2" t="s">
        <v>17</v>
      </c>
      <c r="C6" s="2" t="s">
        <v>18</v>
      </c>
      <c r="D6" s="2">
        <v>55000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3CA7-5300-4DCA-B0DB-A8179FC4E901}">
  <dimension ref="A1:I8"/>
  <sheetViews>
    <sheetView zoomScale="145" zoomScaleNormal="145" workbookViewId="0">
      <selection activeCell="G13" sqref="G13"/>
    </sheetView>
  </sheetViews>
  <sheetFormatPr defaultRowHeight="15" x14ac:dyDescent="0.25"/>
  <cols>
    <col min="1" max="1" width="10.140625" style="2" bestFit="1" customWidth="1"/>
    <col min="2" max="2" width="13.7109375" style="2" bestFit="1" customWidth="1"/>
    <col min="3" max="3" width="11.28515625" style="2" bestFit="1" customWidth="1"/>
    <col min="4" max="4" width="6.28515625" style="2" bestFit="1" customWidth="1"/>
    <col min="5" max="5" width="9.140625" style="2"/>
    <col min="6" max="6" width="16.5703125" style="2" bestFit="1" customWidth="1"/>
    <col min="7" max="7" width="17.85546875" style="2" bestFit="1" customWidth="1"/>
    <col min="8" max="8" width="8.42578125" style="2" bestFit="1" customWidth="1"/>
    <col min="9" max="9" width="11.28515625" style="2" bestFit="1" customWidth="1"/>
    <col min="10" max="16384" width="9.140625" style="2"/>
  </cols>
  <sheetData>
    <row r="1" spans="1:9" s="3" customFormat="1" x14ac:dyDescent="0.25">
      <c r="A1" s="3" t="s">
        <v>22</v>
      </c>
      <c r="B1" s="3" t="s">
        <v>23</v>
      </c>
      <c r="C1" s="3" t="s">
        <v>24</v>
      </c>
      <c r="D1" s="3" t="s">
        <v>25</v>
      </c>
      <c r="F1" s="3" t="s">
        <v>38</v>
      </c>
      <c r="G1" s="3" t="s">
        <v>23</v>
      </c>
      <c r="H1" s="3" t="s">
        <v>25</v>
      </c>
      <c r="I1" s="3" t="s">
        <v>24</v>
      </c>
    </row>
    <row r="2" spans="1:9" x14ac:dyDescent="0.25">
      <c r="A2" s="2" t="s">
        <v>26</v>
      </c>
      <c r="B2" s="2" t="s">
        <v>27</v>
      </c>
      <c r="C2" s="2" t="s">
        <v>28</v>
      </c>
      <c r="D2" s="2">
        <v>55000</v>
      </c>
      <c r="F2" s="2" t="s">
        <v>32</v>
      </c>
      <c r="G2" s="2" t="str">
        <f>VLOOKUP(F2,A1:D6,2,FALSE)</f>
        <v>Keyboard</v>
      </c>
      <c r="H2" s="2">
        <f>VLOOKUP(F2,A1:D6,4,FALSE)</f>
        <v>1500</v>
      </c>
      <c r="I2" s="2" t="str">
        <f>VLOOKUP(F2,A1:D6,3,FALSE)</f>
        <v>Accessories</v>
      </c>
    </row>
    <row r="3" spans="1:9" x14ac:dyDescent="0.25">
      <c r="A3" s="2" t="s">
        <v>29</v>
      </c>
      <c r="B3" s="2" t="s">
        <v>30</v>
      </c>
      <c r="C3" s="2" t="s">
        <v>31</v>
      </c>
      <c r="D3" s="2">
        <v>800</v>
      </c>
      <c r="F3" s="2" t="s">
        <v>26</v>
      </c>
      <c r="G3" s="2" t="str">
        <f t="shared" ref="G3:G4" si="0">VLOOKUP(F3,A2:D7,2,FALSE)</f>
        <v>Laptop</v>
      </c>
      <c r="H3" s="2">
        <f t="shared" ref="H3:H4" si="1">VLOOKUP(F3,A2:D7,4,FALSE)</f>
        <v>55000</v>
      </c>
      <c r="I3" s="2" t="str">
        <f t="shared" ref="I3:I4" si="2">VLOOKUP(F3,A2:D7,3,FALSE)</f>
        <v>Electronics</v>
      </c>
    </row>
    <row r="4" spans="1:9" x14ac:dyDescent="0.25">
      <c r="A4" s="2" t="s">
        <v>32</v>
      </c>
      <c r="B4" s="2" t="s">
        <v>33</v>
      </c>
      <c r="C4" s="2" t="s">
        <v>31</v>
      </c>
      <c r="D4" s="2">
        <v>1500</v>
      </c>
      <c r="F4" s="2" t="s">
        <v>36</v>
      </c>
      <c r="G4" s="2" t="str">
        <f t="shared" si="0"/>
        <v>Headphones</v>
      </c>
      <c r="H4" s="2">
        <f t="shared" si="1"/>
        <v>2500</v>
      </c>
      <c r="I4" s="2" t="str">
        <f t="shared" si="2"/>
        <v>Accessories</v>
      </c>
    </row>
    <row r="5" spans="1:9" x14ac:dyDescent="0.25">
      <c r="A5" s="2" t="s">
        <v>34</v>
      </c>
      <c r="B5" s="2" t="s">
        <v>35</v>
      </c>
      <c r="C5" s="2" t="s">
        <v>28</v>
      </c>
      <c r="D5" s="2">
        <v>12000</v>
      </c>
    </row>
    <row r="6" spans="1:9" x14ac:dyDescent="0.25">
      <c r="A6" s="2" t="s">
        <v>36</v>
      </c>
      <c r="B6" s="2" t="s">
        <v>37</v>
      </c>
      <c r="C6" s="2" t="s">
        <v>31</v>
      </c>
      <c r="D6" s="2">
        <v>2500</v>
      </c>
      <c r="F6" s="1" t="s">
        <v>29</v>
      </c>
      <c r="G6" s="2" t="str">
        <f>IFERROR(VLOOKUP(F6,A1:D6,2,FALSE),"Product Not Found")</f>
        <v>Mouse</v>
      </c>
    </row>
    <row r="7" spans="1:9" x14ac:dyDescent="0.25">
      <c r="F7" s="1" t="s">
        <v>34</v>
      </c>
      <c r="G7" s="2" t="str">
        <f t="shared" ref="G7:G8" si="3">IFERROR(VLOOKUP(F7,A2:D7,2,FALSE),"Product Not Found")</f>
        <v>Monitor</v>
      </c>
    </row>
    <row r="8" spans="1:9" x14ac:dyDescent="0.25">
      <c r="F8" s="1" t="s">
        <v>39</v>
      </c>
      <c r="G8" s="2" t="str">
        <f t="shared" si="3"/>
        <v>Product 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B80E-381E-4974-9BBD-EAD914253244}">
  <dimension ref="A1:F6"/>
  <sheetViews>
    <sheetView zoomScale="175" zoomScaleNormal="175" workbookViewId="0">
      <selection activeCell="H8" sqref="H8"/>
    </sheetView>
  </sheetViews>
  <sheetFormatPr defaultRowHeight="15" x14ac:dyDescent="0.25"/>
  <cols>
    <col min="1" max="1" width="16.5703125" bestFit="1" customWidth="1"/>
    <col min="2" max="2" width="6.85546875" bestFit="1" customWidth="1"/>
    <col min="4" max="4" width="8" bestFit="1" customWidth="1"/>
    <col min="5" max="5" width="5.85546875" bestFit="1" customWidth="1"/>
    <col min="6" max="6" width="8.42578125" bestFit="1" customWidth="1"/>
  </cols>
  <sheetData>
    <row r="1" spans="1:6" s="6" customFormat="1" ht="15.75" x14ac:dyDescent="0.25">
      <c r="A1" s="4" t="s">
        <v>40</v>
      </c>
      <c r="B1" s="4" t="s">
        <v>41</v>
      </c>
      <c r="D1" s="3" t="s">
        <v>47</v>
      </c>
      <c r="E1" s="3" t="s">
        <v>48</v>
      </c>
      <c r="F1" s="3" t="s">
        <v>41</v>
      </c>
    </row>
    <row r="2" spans="1:6" x14ac:dyDescent="0.25">
      <c r="A2" s="2">
        <v>0</v>
      </c>
      <c r="B2" s="2" t="s">
        <v>42</v>
      </c>
      <c r="D2" s="2" t="s">
        <v>5</v>
      </c>
      <c r="E2" s="2">
        <v>82</v>
      </c>
      <c r="F2" s="2" t="str">
        <f>VLOOKUP(E2,A2:B6,2,TRUE)</f>
        <v>A</v>
      </c>
    </row>
    <row r="3" spans="1:6" x14ac:dyDescent="0.25">
      <c r="A3" s="2">
        <v>40</v>
      </c>
      <c r="B3" s="2" t="s">
        <v>43</v>
      </c>
      <c r="D3" s="2" t="s">
        <v>8</v>
      </c>
      <c r="E3" s="2">
        <v>68</v>
      </c>
      <c r="F3" s="2" t="str">
        <f>VLOOKUP(E3,A2:B6,2,TRUE)</f>
        <v>B</v>
      </c>
    </row>
    <row r="4" spans="1:6" x14ac:dyDescent="0.25">
      <c r="A4" s="2">
        <v>50</v>
      </c>
      <c r="B4" s="2" t="s">
        <v>44</v>
      </c>
      <c r="D4" s="2" t="s">
        <v>11</v>
      </c>
      <c r="E4" s="2">
        <v>55</v>
      </c>
      <c r="F4" s="2" t="str">
        <f>VLOOKUP(E4,A3:B7,2,TRUE)</f>
        <v>C</v>
      </c>
    </row>
    <row r="5" spans="1:6" x14ac:dyDescent="0.25">
      <c r="A5" s="2">
        <v>60</v>
      </c>
      <c r="B5" s="2" t="s">
        <v>45</v>
      </c>
      <c r="D5" s="2" t="s">
        <v>14</v>
      </c>
      <c r="E5" s="2">
        <v>43</v>
      </c>
      <c r="F5" s="2" t="str">
        <f>VLOOKUP(E5,A2:B6,2,TRUE)</f>
        <v>D</v>
      </c>
    </row>
    <row r="6" spans="1:6" x14ac:dyDescent="0.25">
      <c r="A6" s="2">
        <v>75</v>
      </c>
      <c r="B6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0AF5-8E2F-4325-A60F-3747E508A10A}">
  <dimension ref="A1:J7"/>
  <sheetViews>
    <sheetView tabSelected="1" zoomScale="160" zoomScaleNormal="160" workbookViewId="0">
      <selection activeCell="I11" sqref="I11"/>
    </sheetView>
  </sheetViews>
  <sheetFormatPr defaultRowHeight="15" x14ac:dyDescent="0.25"/>
  <cols>
    <col min="1" max="1" width="13.28515625" bestFit="1" customWidth="1"/>
    <col min="2" max="2" width="6.7109375" bestFit="1" customWidth="1"/>
    <col min="3" max="3" width="12.85546875" bestFit="1" customWidth="1"/>
    <col min="4" max="4" width="7" bestFit="1" customWidth="1"/>
    <col min="5" max="5" width="8.28515625" bestFit="1" customWidth="1"/>
    <col min="8" max="8" width="10.28515625" bestFit="1" customWidth="1"/>
    <col min="9" max="9" width="11.7109375" bestFit="1" customWidth="1"/>
    <col min="10" max="10" width="10.28515625" bestFit="1" customWidth="1"/>
  </cols>
  <sheetData>
    <row r="1" spans="1:10" s="6" customFormat="1" ht="15.75" x14ac:dyDescent="0.25">
      <c r="A1" s="4" t="s">
        <v>0</v>
      </c>
      <c r="B1" s="4" t="s">
        <v>49</v>
      </c>
      <c r="C1" s="4" t="s">
        <v>2</v>
      </c>
      <c r="D1" s="4" t="s">
        <v>3</v>
      </c>
      <c r="E1" s="4" t="s">
        <v>50</v>
      </c>
      <c r="G1" s="3" t="s">
        <v>58</v>
      </c>
      <c r="H1" s="3" t="s">
        <v>49</v>
      </c>
      <c r="I1" s="3" t="s">
        <v>2</v>
      </c>
      <c r="J1" s="3" t="s">
        <v>3</v>
      </c>
    </row>
    <row r="2" spans="1:10" x14ac:dyDescent="0.25">
      <c r="A2" s="2" t="s">
        <v>4</v>
      </c>
      <c r="B2" s="2" t="s">
        <v>5</v>
      </c>
      <c r="C2" s="2" t="s">
        <v>6</v>
      </c>
      <c r="D2" s="2">
        <v>35000</v>
      </c>
      <c r="E2" s="2" t="s">
        <v>51</v>
      </c>
      <c r="G2" s="2" t="s">
        <v>10</v>
      </c>
      <c r="H2" s="2" t="str">
        <f>IFERROR(VLOOKUP(G2,$A$1:$E$7,2,FALSE),"Not Found")</f>
        <v>Aman</v>
      </c>
      <c r="I2" s="2" t="str">
        <f>IFERROR(VLOOKUP(G2,$A$1:$E$7,3,FALSE),"Not Found")</f>
        <v>Finance</v>
      </c>
      <c r="J2" s="2">
        <f>IFERROR(VLOOKUP(G2,$A$1:$E$7,4,FALSE),"Not Found")</f>
        <v>60000</v>
      </c>
    </row>
    <row r="3" spans="1:10" x14ac:dyDescent="0.25">
      <c r="A3" s="2" t="s">
        <v>7</v>
      </c>
      <c r="B3" s="2" t="s">
        <v>8</v>
      </c>
      <c r="C3" s="2" t="s">
        <v>9</v>
      </c>
      <c r="D3" s="2">
        <v>45000</v>
      </c>
      <c r="E3" s="2" t="s">
        <v>52</v>
      </c>
      <c r="G3" s="2" t="s">
        <v>55</v>
      </c>
      <c r="H3" s="2" t="str">
        <f t="shared" ref="H3:H5" si="0">IFERROR(VLOOKUP(G3,$A$1:$E$7,2,FALSE),"Not Found")</f>
        <v>Ankit</v>
      </c>
      <c r="I3" s="2" t="str">
        <f t="shared" ref="I3:I5" si="1">IFERROR(VLOOKUP(G3,$A$1:$E$7,3,FALSE),"Not Found")</f>
        <v>IT</v>
      </c>
      <c r="J3" s="2">
        <f t="shared" ref="J3:J5" si="2">IFERROR(VLOOKUP(G3,$A$1:$E$7,4,FALSE),"Not Found")</f>
        <v>50000</v>
      </c>
    </row>
    <row r="4" spans="1:10" x14ac:dyDescent="0.25">
      <c r="A4" s="2" t="s">
        <v>10</v>
      </c>
      <c r="B4" s="2" t="s">
        <v>11</v>
      </c>
      <c r="C4" s="2" t="s">
        <v>12</v>
      </c>
      <c r="D4" s="2">
        <v>60000</v>
      </c>
      <c r="E4" s="2" t="s">
        <v>53</v>
      </c>
      <c r="G4" s="2" t="s">
        <v>21</v>
      </c>
      <c r="H4" s="2" t="str">
        <f t="shared" si="0"/>
        <v>Not Found</v>
      </c>
      <c r="I4" s="2" t="str">
        <f t="shared" si="1"/>
        <v>Not Found</v>
      </c>
      <c r="J4" s="2" t="str">
        <f t="shared" si="2"/>
        <v>Not Found</v>
      </c>
    </row>
    <row r="5" spans="1:10" x14ac:dyDescent="0.25">
      <c r="A5" s="2" t="s">
        <v>13</v>
      </c>
      <c r="B5" s="2" t="s">
        <v>14</v>
      </c>
      <c r="C5" s="2" t="s">
        <v>15</v>
      </c>
      <c r="D5" s="2">
        <v>40000</v>
      </c>
      <c r="E5" s="2" t="s">
        <v>54</v>
      </c>
      <c r="G5" s="2" t="s">
        <v>4</v>
      </c>
      <c r="H5" s="2" t="str">
        <f t="shared" si="0"/>
        <v>Rahul</v>
      </c>
      <c r="I5" s="2" t="str">
        <f t="shared" si="1"/>
        <v>IT</v>
      </c>
      <c r="J5" s="2">
        <f t="shared" si="2"/>
        <v>35000</v>
      </c>
    </row>
    <row r="6" spans="1:10" x14ac:dyDescent="0.25">
      <c r="A6" s="2" t="s">
        <v>16</v>
      </c>
      <c r="B6" s="2" t="s">
        <v>17</v>
      </c>
      <c r="C6" s="2" t="s">
        <v>18</v>
      </c>
      <c r="D6" s="2">
        <v>55000</v>
      </c>
      <c r="E6" s="2" t="s">
        <v>51</v>
      </c>
    </row>
    <row r="7" spans="1:10" x14ac:dyDescent="0.25">
      <c r="A7" s="2" t="s">
        <v>55</v>
      </c>
      <c r="B7" s="2" t="s">
        <v>56</v>
      </c>
      <c r="C7" s="2" t="s">
        <v>6</v>
      </c>
      <c r="D7" s="2">
        <v>50000</v>
      </c>
      <c r="E7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VLOOKUP</vt:lpstr>
      <vt:lpstr>Product VLOOKUP</vt:lpstr>
      <vt:lpstr>Approximate VLOOKUP</vt:lpstr>
      <vt:lpstr>Employee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2026-09-07T15:23:13Z</dcterms:created>
  <dcterms:modified xsi:type="dcterms:W3CDTF">2026-09-10T16:22:20Z</dcterms:modified>
</cp:coreProperties>
</file>