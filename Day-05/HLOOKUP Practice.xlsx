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5\"/>
    </mc:Choice>
  </mc:AlternateContent>
  <xr:revisionPtr revIDLastSave="0" documentId="13_ncr:1_{86C76D0E-B50E-469A-88A9-A9C8B9FEA0B0}" xr6:coauthVersionLast="47" xr6:coauthVersionMax="47" xr10:uidLastSave="{00000000-0000-0000-0000-000000000000}"/>
  <bookViews>
    <workbookView xWindow="-120" yWindow="-120" windowWidth="29040" windowHeight="16440" activeTab="3" xr2:uid="{86AD3B46-9EC1-4A03-805C-E7D9E5FF920D}"/>
  </bookViews>
  <sheets>
    <sheet name="Basic HLOOKUP" sheetId="1" r:id="rId1"/>
    <sheet name="Employee Lookup" sheetId="2" r:id="rId2"/>
    <sheet name="Approximate Match" sheetId="3" r:id="rId3"/>
    <sheet name="HLOOKUP Mini Projec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4" l="1"/>
  <c r="C9" i="4"/>
  <c r="C7" i="4"/>
  <c r="B8" i="4"/>
  <c r="B9" i="4"/>
  <c r="B7" i="4"/>
  <c r="B9" i="3"/>
  <c r="B8" i="3"/>
  <c r="B5" i="3"/>
  <c r="B11" i="2"/>
  <c r="B12" i="2"/>
  <c r="B10" i="2"/>
  <c r="B7" i="2"/>
  <c r="B26" i="1"/>
  <c r="B27" i="1"/>
  <c r="B25" i="1"/>
  <c r="B21" i="1"/>
  <c r="B22" i="1"/>
  <c r="B20" i="1"/>
  <c r="B17" i="1"/>
  <c r="B16" i="1"/>
  <c r="B12" i="1"/>
  <c r="B13" i="1"/>
  <c r="B11" i="1"/>
  <c r="B7" i="1"/>
  <c r="B8" i="1"/>
  <c r="B6" i="1"/>
</calcChain>
</file>

<file path=xl/sharedStrings.xml><?xml version="1.0" encoding="utf-8"?>
<sst xmlns="http://schemas.openxmlformats.org/spreadsheetml/2006/main" count="94" uniqueCount="41">
  <si>
    <t>B</t>
  </si>
  <si>
    <t>C</t>
  </si>
  <si>
    <t>D</t>
  </si>
  <si>
    <t>F</t>
  </si>
  <si>
    <t>Product ID</t>
  </si>
  <si>
    <t>P001</t>
  </si>
  <si>
    <t>P002</t>
  </si>
  <si>
    <t>P003</t>
  </si>
  <si>
    <t>P004</t>
  </si>
  <si>
    <t>P005</t>
  </si>
  <si>
    <t>Product Name</t>
  </si>
  <si>
    <t>Laptop</t>
  </si>
  <si>
    <t>Mouse</t>
  </si>
  <si>
    <t>Keyboard</t>
  </si>
  <si>
    <t>Monitor</t>
  </si>
  <si>
    <t>Headphones</t>
  </si>
  <si>
    <t>Price</t>
  </si>
  <si>
    <t>Search Product ID</t>
  </si>
  <si>
    <t>P999</t>
  </si>
  <si>
    <t>Employee ID</t>
  </si>
  <si>
    <t>E101</t>
  </si>
  <si>
    <t>E102</t>
  </si>
  <si>
    <t>E103</t>
  </si>
  <si>
    <t>E104</t>
  </si>
  <si>
    <t>Name</t>
  </si>
  <si>
    <t>Rahul</t>
  </si>
  <si>
    <t>Amit</t>
  </si>
  <si>
    <t>Neha</t>
  </si>
  <si>
    <t>Priya</t>
  </si>
  <si>
    <t>Department</t>
  </si>
  <si>
    <t>IT</t>
  </si>
  <si>
    <t>HR</t>
  </si>
  <si>
    <t>Sales</t>
  </si>
  <si>
    <t>Finance</t>
  </si>
  <si>
    <t>Salary</t>
  </si>
  <si>
    <t>Search Employee ID</t>
  </si>
  <si>
    <t>Score</t>
  </si>
  <si>
    <t>Grade</t>
  </si>
  <si>
    <t>A</t>
  </si>
  <si>
    <t>Student Score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</si>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</sst>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C585-CF4D-4D52-B993-16B46942479D}">
  <dimension ref="A1:F27"/>
  <sheetViews>
    <sheetView topLeftCell="A13" zoomScale="175" zoomScaleNormal="175" workbookViewId="0">
      <selection activeCell="B29" sqref="B29"/>
    </sheetView>
  </sheetViews>
  <sheetFormatPr defaultColWidth="7.140625" defaultRowHeight="15.75" x14ac:dyDescent="0.25"/>
  <cols>
    <col min="1" max="1" width="18.85546875" style="4" bestFit="1" customWidth="1"/>
    <col min="2" max="2" width="15.28515625" style="3" bestFit="1" customWidth="1"/>
    <col min="3" max="3" width="7" style="3" bestFit="1" customWidth="1"/>
    <col min="4" max="4" width="9.42578125" style="3" bestFit="1" customWidth="1"/>
    <col min="5" max="5" width="8.140625" style="3" bestFit="1" customWidth="1"/>
    <col min="6" max="6" width="12.140625" style="3" bestFit="1" customWidth="1"/>
    <col min="7" max="16384" width="7.140625" style="3"/>
  </cols>
  <sheetData>
    <row r="1" spans="1:6" x14ac:dyDescent="0.25">
      <c r="A1" s="4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x14ac:dyDescent="0.25">
      <c r="A2" s="4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6" x14ac:dyDescent="0.25">
      <c r="A3" s="4" t="s">
        <v>16</v>
      </c>
      <c r="B3" s="3">
        <v>55000</v>
      </c>
      <c r="C3" s="3">
        <v>800</v>
      </c>
      <c r="D3" s="3">
        <v>1500</v>
      </c>
      <c r="E3" s="3">
        <v>12000</v>
      </c>
      <c r="F3" s="3">
        <v>2500</v>
      </c>
    </row>
    <row r="5" spans="1:6" s="7" customFormat="1" x14ac:dyDescent="0.25">
      <c r="A5" s="6" t="s">
        <v>17</v>
      </c>
      <c r="B5" s="6" t="s">
        <v>10</v>
      </c>
    </row>
    <row r="6" spans="1:6" ht="15" x14ac:dyDescent="0.25">
      <c r="A6" s="2" t="s">
        <v>7</v>
      </c>
      <c r="B6" s="2" t="str">
        <f>HLOOKUP(A6,$A$1:$F$3,2,FALSE)</f>
        <v>Keyboard</v>
      </c>
    </row>
    <row r="7" spans="1:6" ht="15" x14ac:dyDescent="0.25">
      <c r="A7" s="2" t="s">
        <v>5</v>
      </c>
      <c r="B7" s="2" t="str">
        <f t="shared" ref="B7:B8" si="0">HLOOKUP(A7,$A$1:$F$3,2,FALSE)</f>
        <v>Laptop</v>
      </c>
    </row>
    <row r="8" spans="1:6" ht="15" x14ac:dyDescent="0.25">
      <c r="A8" s="2" t="s">
        <v>9</v>
      </c>
      <c r="B8" s="2" t="str">
        <f t="shared" si="0"/>
        <v>Headphones</v>
      </c>
    </row>
    <row r="10" spans="1:6" s="7" customFormat="1" x14ac:dyDescent="0.25">
      <c r="A10" s="8" t="s">
        <v>17</v>
      </c>
      <c r="B10" s="8" t="s">
        <v>16</v>
      </c>
    </row>
    <row r="11" spans="1:6" ht="15" x14ac:dyDescent="0.25">
      <c r="A11" s="5" t="s">
        <v>6</v>
      </c>
      <c r="B11" s="5">
        <f>HLOOKUP(A11,$A$1:$F$3,3,FALSE)</f>
        <v>800</v>
      </c>
    </row>
    <row r="12" spans="1:6" ht="15" x14ac:dyDescent="0.25">
      <c r="A12" s="5" t="s">
        <v>8</v>
      </c>
      <c r="B12" s="5">
        <f t="shared" ref="B12:B13" si="1">HLOOKUP(A12,$A$1:$F$3,3,FALSE)</f>
        <v>12000</v>
      </c>
    </row>
    <row r="13" spans="1:6" ht="15" x14ac:dyDescent="0.25">
      <c r="A13" s="5" t="s">
        <v>9</v>
      </c>
      <c r="B13" s="5">
        <f t="shared" si="1"/>
        <v>2500</v>
      </c>
    </row>
    <row r="15" spans="1:6" s="4" customFormat="1" x14ac:dyDescent="0.25">
      <c r="A15" s="9" t="s">
        <v>17</v>
      </c>
      <c r="B15" s="9" t="s">
        <v>10</v>
      </c>
    </row>
    <row r="16" spans="1:6" ht="15" x14ac:dyDescent="0.25">
      <c r="A16" s="1" t="s">
        <v>7</v>
      </c>
      <c r="B16" s="1" t="str">
        <f>IFERROR(HLOOKUP(A16,$A$1:$F$3,2,FALSE),"Not Found")</f>
        <v>Keyboard</v>
      </c>
    </row>
    <row r="17" spans="1:2" ht="15" x14ac:dyDescent="0.25">
      <c r="A17" s="1" t="s">
        <v>18</v>
      </c>
      <c r="B17" s="1" t="str">
        <f>IFERROR(HLOOKUP(A17,$A$1:$F$3,2,FALSE),"Not Found")</f>
        <v>Not Found</v>
      </c>
    </row>
    <row r="19" spans="1:2" x14ac:dyDescent="0.25">
      <c r="A19" s="8" t="s">
        <v>17</v>
      </c>
      <c r="B19" s="8" t="s">
        <v>16</v>
      </c>
    </row>
    <row r="20" spans="1:2" ht="15" x14ac:dyDescent="0.25">
      <c r="A20" s="1" t="s">
        <v>5</v>
      </c>
      <c r="B20" s="5">
        <f>HLOOKUP(A20,$A$1:$F$3,3,FALSE)</f>
        <v>55000</v>
      </c>
    </row>
    <row r="21" spans="1:2" ht="15" x14ac:dyDescent="0.25">
      <c r="A21" s="1" t="s">
        <v>7</v>
      </c>
      <c r="B21" s="5">
        <f t="shared" ref="B21:B22" si="2">HLOOKUP(A21,$A$1:$F$3,3,FALSE)</f>
        <v>1500</v>
      </c>
    </row>
    <row r="22" spans="1:2" ht="15" x14ac:dyDescent="0.25">
      <c r="A22" s="1" t="s">
        <v>9</v>
      </c>
      <c r="B22" s="5">
        <f t="shared" si="2"/>
        <v>2500</v>
      </c>
    </row>
    <row r="24" spans="1:2" s="4" customFormat="1" x14ac:dyDescent="0.25">
      <c r="A24" s="9" t="s">
        <v>17</v>
      </c>
      <c r="B24" s="9" t="s">
        <v>16</v>
      </c>
    </row>
    <row r="25" spans="1:2" ht="15" x14ac:dyDescent="0.25">
      <c r="A25" s="1" t="s">
        <v>6</v>
      </c>
      <c r="B25" s="5">
        <f>IFERROR(HLOOKUP(A25,$A$1:$F$3,3,FALSE),"Not Found")</f>
        <v>800</v>
      </c>
    </row>
    <row r="26" spans="1:2" ht="15" x14ac:dyDescent="0.25">
      <c r="A26" s="1" t="s">
        <v>8</v>
      </c>
      <c r="B26" s="5">
        <f t="shared" ref="B26:B27" si="3">IFERROR(HLOOKUP(A26,$A$1:$F$3,3,FALSE),"Not Found")</f>
        <v>12000</v>
      </c>
    </row>
    <row r="27" spans="1:2" ht="15" x14ac:dyDescent="0.25">
      <c r="A27" s="1" t="s">
        <v>18</v>
      </c>
      <c r="B27" s="5" t="str">
        <f t="shared" si="3"/>
        <v>Not Found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1F4F-AF99-498E-938B-10F3208B22A3}">
  <dimension ref="A1:E12"/>
  <sheetViews>
    <sheetView zoomScale="175" zoomScaleNormal="175" workbookViewId="0">
      <selection activeCell="C8" sqref="C8"/>
    </sheetView>
  </sheetViews>
  <sheetFormatPr defaultRowHeight="15.75" x14ac:dyDescent="0.25"/>
  <cols>
    <col min="1" max="1" width="20.5703125" style="4" bestFit="1" customWidth="1"/>
    <col min="2" max="2" width="12.85546875" style="3" bestFit="1" customWidth="1"/>
    <col min="3" max="4" width="6.28515625" style="3" bestFit="1" customWidth="1"/>
    <col min="5" max="5" width="7.85546875" style="3" bestFit="1" customWidth="1"/>
    <col min="6" max="16384" width="9.140625" style="3"/>
  </cols>
  <sheetData>
    <row r="1" spans="1:5" s="10" customFormat="1" x14ac:dyDescent="0.25">
      <c r="A1" s="4" t="s">
        <v>19</v>
      </c>
      <c r="B1" s="10" t="s">
        <v>20</v>
      </c>
      <c r="C1" s="10" t="s">
        <v>21</v>
      </c>
      <c r="D1" s="10" t="s">
        <v>22</v>
      </c>
      <c r="E1" s="10" t="s">
        <v>23</v>
      </c>
    </row>
    <row r="2" spans="1:5" x14ac:dyDescent="0.25">
      <c r="A2" s="4" t="s">
        <v>24</v>
      </c>
      <c r="B2" s="3" t="s">
        <v>25</v>
      </c>
      <c r="C2" s="3" t="s">
        <v>26</v>
      </c>
      <c r="D2" s="3" t="s">
        <v>27</v>
      </c>
      <c r="E2" s="3" t="s">
        <v>28</v>
      </c>
    </row>
    <row r="3" spans="1:5" x14ac:dyDescent="0.25">
      <c r="A3" s="4" t="s">
        <v>29</v>
      </c>
      <c r="B3" s="3" t="s">
        <v>30</v>
      </c>
      <c r="C3" s="3" t="s">
        <v>31</v>
      </c>
      <c r="D3" s="3" t="s">
        <v>32</v>
      </c>
      <c r="E3" s="3" t="s">
        <v>33</v>
      </c>
    </row>
    <row r="4" spans="1:5" x14ac:dyDescent="0.25">
      <c r="A4" s="4" t="s">
        <v>34</v>
      </c>
      <c r="B4" s="3">
        <v>45000</v>
      </c>
      <c r="C4" s="3">
        <v>40000</v>
      </c>
      <c r="D4" s="3">
        <v>50000</v>
      </c>
      <c r="E4" s="3">
        <v>55000</v>
      </c>
    </row>
    <row r="6" spans="1:5" s="4" customFormat="1" x14ac:dyDescent="0.25">
      <c r="A6" s="4" t="s">
        <v>35</v>
      </c>
      <c r="B6" s="4" t="s">
        <v>29</v>
      </c>
    </row>
    <row r="7" spans="1:5" ht="15" x14ac:dyDescent="0.25">
      <c r="A7" s="3" t="s">
        <v>22</v>
      </c>
      <c r="B7" s="3" t="str">
        <f>HLOOKUP(A7,$A$1:$E$4,3,FALSE)</f>
        <v>Sales</v>
      </c>
    </row>
    <row r="9" spans="1:5" s="4" customFormat="1" x14ac:dyDescent="0.25">
      <c r="A9" s="9" t="s">
        <v>35</v>
      </c>
      <c r="B9" s="9" t="s">
        <v>34</v>
      </c>
    </row>
    <row r="10" spans="1:5" ht="15" x14ac:dyDescent="0.25">
      <c r="A10" s="1" t="s">
        <v>20</v>
      </c>
      <c r="B10" s="5">
        <f>HLOOKUP(A10,$A$1:$E$4,4,FALSE)</f>
        <v>45000</v>
      </c>
    </row>
    <row r="11" spans="1:5" ht="15" x14ac:dyDescent="0.25">
      <c r="A11" s="1" t="s">
        <v>23</v>
      </c>
      <c r="B11" s="5">
        <f t="shared" ref="B11:B12" si="0">HLOOKUP(A11,$A$1:$E$4,4,FALSE)</f>
        <v>55000</v>
      </c>
    </row>
    <row r="12" spans="1:5" ht="15" x14ac:dyDescent="0.25">
      <c r="A12" s="1" t="s">
        <v>21</v>
      </c>
      <c r="B12" s="5">
        <f t="shared" si="0"/>
        <v>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6F36A-4B0B-4023-B0D2-29C8579722EC}">
  <dimension ref="A1:F9"/>
  <sheetViews>
    <sheetView zoomScale="145" zoomScaleNormal="145" workbookViewId="0">
      <selection activeCell="D7" sqref="D7"/>
    </sheetView>
  </sheetViews>
  <sheetFormatPr defaultRowHeight="15.75" x14ac:dyDescent="0.25"/>
  <cols>
    <col min="1" max="1" width="15" style="4" bestFit="1" customWidth="1"/>
    <col min="2" max="2" width="7" style="3" bestFit="1" customWidth="1"/>
    <col min="3" max="6" width="3" style="3" bestFit="1" customWidth="1"/>
    <col min="7" max="16384" width="9.140625" style="3"/>
  </cols>
  <sheetData>
    <row r="1" spans="1:6" x14ac:dyDescent="0.25">
      <c r="A1" s="4" t="s">
        <v>36</v>
      </c>
      <c r="B1" s="3">
        <v>0</v>
      </c>
      <c r="C1" s="3">
        <v>40</v>
      </c>
      <c r="D1" s="3">
        <v>50</v>
      </c>
      <c r="E1" s="3">
        <v>60</v>
      </c>
      <c r="F1" s="3">
        <v>75</v>
      </c>
    </row>
    <row r="2" spans="1:6" x14ac:dyDescent="0.25">
      <c r="A2" s="4" t="s">
        <v>37</v>
      </c>
      <c r="B2" s="3" t="s">
        <v>3</v>
      </c>
      <c r="C2" s="3" t="s">
        <v>2</v>
      </c>
      <c r="D2" s="3" t="s">
        <v>1</v>
      </c>
      <c r="E2" s="3" t="s">
        <v>0</v>
      </c>
      <c r="F2" s="3" t="s">
        <v>38</v>
      </c>
    </row>
    <row r="4" spans="1:6" s="4" customFormat="1" x14ac:dyDescent="0.25">
      <c r="A4" s="4" t="s">
        <v>39</v>
      </c>
      <c r="B4" s="4" t="s">
        <v>37</v>
      </c>
    </row>
    <row r="5" spans="1:6" ht="15" x14ac:dyDescent="0.25">
      <c r="A5" s="3">
        <v>68</v>
      </c>
      <c r="B5" s="3" t="str">
        <f>HLOOKUP(A5,$A$1:$F$2,2,TRUE)</f>
        <v>B</v>
      </c>
    </row>
    <row r="7" spans="1:6" s="4" customFormat="1" x14ac:dyDescent="0.25">
      <c r="A7" s="8" t="s">
        <v>39</v>
      </c>
      <c r="B7" s="8" t="s">
        <v>37</v>
      </c>
    </row>
    <row r="8" spans="1:6" ht="15" x14ac:dyDescent="0.25">
      <c r="A8" s="5">
        <v>85</v>
      </c>
      <c r="B8" s="5" t="str">
        <f>HLOOKUP(A8,$A$1:$F$2,2,TRUE)</f>
        <v>A</v>
      </c>
    </row>
    <row r="9" spans="1:6" ht="15" x14ac:dyDescent="0.25">
      <c r="A9" s="5">
        <v>35</v>
      </c>
      <c r="B9" s="5" t="str">
        <f>HLOOKUP(A9,$A$1:$F$2,2,TRUE)</f>
        <v>F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EF0D2-6495-4855-871F-955B0F67C8B0}">
  <dimension ref="A1:E9"/>
  <sheetViews>
    <sheetView tabSelected="1" zoomScale="145" zoomScaleNormal="145" workbookViewId="0">
      <selection activeCell="E9" sqref="E9"/>
    </sheetView>
  </sheetViews>
  <sheetFormatPr defaultRowHeight="15.75" x14ac:dyDescent="0.25"/>
  <cols>
    <col min="1" max="1" width="13.28515625" style="11" bestFit="1" customWidth="1"/>
    <col min="2" max="3" width="10.28515625" bestFit="1" customWidth="1"/>
    <col min="4" max="4" width="6.28515625" bestFit="1" customWidth="1"/>
    <col min="5" max="5" width="7.85546875" bestFit="1" customWidth="1"/>
  </cols>
  <sheetData>
    <row r="1" spans="1:5" x14ac:dyDescent="0.25">
      <c r="A1" s="4" t="s">
        <v>19</v>
      </c>
      <c r="B1" s="3" t="s">
        <v>20</v>
      </c>
      <c r="C1" s="3" t="s">
        <v>21</v>
      </c>
      <c r="D1" s="3" t="s">
        <v>22</v>
      </c>
      <c r="E1" s="3" t="s">
        <v>23</v>
      </c>
    </row>
    <row r="2" spans="1:5" x14ac:dyDescent="0.25">
      <c r="A2" s="4" t="s">
        <v>24</v>
      </c>
      <c r="B2" s="3" t="s">
        <v>25</v>
      </c>
      <c r="C2" s="3" t="s">
        <v>26</v>
      </c>
      <c r="D2" s="3" t="s">
        <v>27</v>
      </c>
      <c r="E2" s="3" t="s">
        <v>28</v>
      </c>
    </row>
    <row r="3" spans="1:5" x14ac:dyDescent="0.25">
      <c r="A3" s="4" t="s">
        <v>29</v>
      </c>
      <c r="B3" s="3" t="s">
        <v>30</v>
      </c>
      <c r="C3" s="3" t="s">
        <v>31</v>
      </c>
      <c r="D3" s="3" t="s">
        <v>32</v>
      </c>
      <c r="E3" s="3" t="s">
        <v>33</v>
      </c>
    </row>
    <row r="4" spans="1:5" x14ac:dyDescent="0.25">
      <c r="A4" s="4" t="s">
        <v>34</v>
      </c>
      <c r="B4" s="3">
        <v>45000</v>
      </c>
      <c r="C4" s="3">
        <v>40000</v>
      </c>
      <c r="D4" s="3">
        <v>50000</v>
      </c>
      <c r="E4" s="3">
        <v>55000</v>
      </c>
    </row>
    <row r="6" spans="1:5" s="12" customFormat="1" x14ac:dyDescent="0.25">
      <c r="A6" s="4" t="s">
        <v>19</v>
      </c>
      <c r="B6" s="4" t="s">
        <v>24</v>
      </c>
      <c r="C6" s="4" t="s">
        <v>34</v>
      </c>
    </row>
    <row r="7" spans="1:5" ht="15" x14ac:dyDescent="0.25">
      <c r="A7" s="1" t="s">
        <v>21</v>
      </c>
      <c r="B7" s="1" t="str">
        <f>IFERROR(HLOOKUP(A7,$A$1:$E$4,2,FALSE),"Not Found")</f>
        <v>Amit</v>
      </c>
      <c r="C7" s="5">
        <f>IFERROR(HLOOKUP(A7,$A$1:$E$4,4,FALSE),"Not Found")</f>
        <v>40000</v>
      </c>
    </row>
    <row r="8" spans="1:5" ht="15" x14ac:dyDescent="0.25">
      <c r="A8" s="1" t="s">
        <v>23</v>
      </c>
      <c r="B8" s="1" t="str">
        <f t="shared" ref="B8:B9" si="0">IFERROR(HLOOKUP(A8,$A$1:$E$4,2,FALSE),"Not Found")</f>
        <v>Priya</v>
      </c>
      <c r="C8" s="5">
        <f t="shared" ref="C8:C9" si="1">IFERROR(HLOOKUP(A8,$A$1:$E$4,4,FALSE),"Not Found")</f>
        <v>55000</v>
      </c>
    </row>
    <row r="9" spans="1:5" s="13" customFormat="1" ht="15" x14ac:dyDescent="0.25">
      <c r="A9" s="2" t="s">
        <v>40</v>
      </c>
      <c r="B9" s="2" t="str">
        <f t="shared" si="0"/>
        <v>Not Found</v>
      </c>
      <c r="C9" s="3" t="str">
        <f t="shared" si="1"/>
        <v>Not Found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Basic HLOOKUP</vt:lpstr>
      <vt:lpstr>Employee Lookup</vt:lpstr>
      <vt:lpstr>Approximate Match</vt:lpstr>
      <vt:lpstr>HLOOKUP Mini 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2026-09-15T13:36:59Z</dcterms:created>
  <dcterms:modified xsi:type="dcterms:W3CDTF">2026-09-15T16:41:40Z</dcterms:modified>
</cp:coreProperties>
</file>